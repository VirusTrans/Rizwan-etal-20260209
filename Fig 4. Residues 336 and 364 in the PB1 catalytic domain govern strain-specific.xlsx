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ig 4A" sheetId="1" r:id="rId1"/>
    <sheet name="Fig 4B" sheetId="3" r:id="rId2"/>
    <sheet name="Fig 4D" sheetId="4" r:id="rId3"/>
    <sheet name="Fig 4E" sheetId="7" r:id="rId4"/>
    <sheet name="Fig 4F" sheetId="8" r:id="rId5"/>
    <sheet name=" pdm009-like PB1-CD" sheetId="9" r:id="rId6"/>
    <sheet name="BJ16-Like PB1-CD" sheetId="1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" i="9" l="1"/>
  <c r="Y6" i="9" s="1"/>
  <c r="X6" i="9"/>
  <c r="W7" i="9"/>
  <c r="X7" i="9"/>
  <c r="Y7" i="9"/>
  <c r="W8" i="9"/>
  <c r="X8" i="9"/>
  <c r="Y8" i="9"/>
  <c r="W9" i="9"/>
  <c r="Y9" i="9" s="1"/>
  <c r="X9" i="9"/>
  <c r="W10" i="9"/>
  <c r="Y10" i="9" s="1"/>
  <c r="X10" i="9"/>
  <c r="W11" i="9"/>
  <c r="Y11" i="9" s="1"/>
  <c r="X11" i="9"/>
  <c r="W12" i="9"/>
  <c r="X12" i="9"/>
  <c r="Y12" i="9"/>
  <c r="W13" i="9"/>
  <c r="X13" i="9"/>
  <c r="Y13" i="9"/>
  <c r="W14" i="9"/>
  <c r="X14" i="9"/>
  <c r="Y14" i="9"/>
  <c r="W15" i="9"/>
  <c r="Y15" i="9" s="1"/>
  <c r="X15" i="9"/>
  <c r="W16" i="9"/>
  <c r="X16" i="9"/>
  <c r="Y16" i="9"/>
  <c r="W17" i="9"/>
  <c r="Y17" i="9" s="1"/>
  <c r="X17" i="9"/>
  <c r="AA17" i="9"/>
  <c r="W18" i="9"/>
  <c r="X18" i="9"/>
  <c r="Y18" i="9"/>
  <c r="W19" i="9"/>
  <c r="Y19" i="9" s="1"/>
  <c r="AB19" i="9" s="1"/>
  <c r="X19" i="9"/>
  <c r="AA19" i="9"/>
  <c r="W20" i="9"/>
  <c r="X20" i="9"/>
  <c r="Y20" i="9"/>
  <c r="W21" i="9"/>
  <c r="Y21" i="9" s="1"/>
  <c r="X21" i="9"/>
  <c r="W22" i="9"/>
  <c r="Y22" i="9" s="1"/>
  <c r="X22" i="9"/>
  <c r="W23" i="9"/>
  <c r="Y23" i="9" s="1"/>
  <c r="X23" i="9"/>
  <c r="W24" i="9"/>
  <c r="X24" i="9"/>
  <c r="Y24" i="9"/>
  <c r="W25" i="9"/>
  <c r="X25" i="9"/>
  <c r="Y25" i="9"/>
  <c r="W26" i="9"/>
  <c r="X26" i="9"/>
  <c r="Y26" i="9"/>
  <c r="W27" i="9"/>
  <c r="Y27" i="9" s="1"/>
  <c r="X27" i="9"/>
  <c r="W28" i="9"/>
  <c r="X28" i="9"/>
  <c r="Y28" i="9"/>
  <c r="W29" i="9"/>
  <c r="Y29" i="9" s="1"/>
  <c r="X29" i="9"/>
  <c r="W30" i="9"/>
  <c r="Y30" i="9" s="1"/>
  <c r="X30" i="9"/>
  <c r="W31" i="9"/>
  <c r="Y31" i="9" s="1"/>
  <c r="X31" i="9"/>
  <c r="W32" i="9"/>
  <c r="X32" i="9"/>
  <c r="Y32" i="9"/>
  <c r="W33" i="9"/>
  <c r="X33" i="9"/>
  <c r="Y33" i="9"/>
  <c r="W34" i="9"/>
  <c r="X34" i="9"/>
  <c r="Y34" i="9"/>
  <c r="W35" i="9"/>
  <c r="Y35" i="9" s="1"/>
  <c r="X35" i="9"/>
  <c r="W36" i="9"/>
  <c r="X36" i="9"/>
  <c r="Y36" i="9"/>
  <c r="W37" i="9"/>
  <c r="Y37" i="9" s="1"/>
  <c r="X37" i="9"/>
  <c r="W38" i="9"/>
  <c r="Y38" i="9" s="1"/>
  <c r="X38" i="9"/>
  <c r="W39" i="9"/>
  <c r="Y39" i="9" s="1"/>
  <c r="X39" i="9"/>
  <c r="W40" i="9"/>
  <c r="X40" i="9"/>
  <c r="Y40" i="9"/>
  <c r="W41" i="9"/>
  <c r="X41" i="9"/>
  <c r="Y41" i="9"/>
  <c r="W42" i="9"/>
  <c r="X42" i="9"/>
  <c r="Y42" i="9"/>
  <c r="W43" i="9"/>
  <c r="Y43" i="9" s="1"/>
  <c r="X43" i="9"/>
  <c r="W44" i="9"/>
  <c r="X44" i="9"/>
  <c r="Y44" i="9"/>
  <c r="W45" i="9"/>
  <c r="Y45" i="9" s="1"/>
  <c r="X45" i="9"/>
  <c r="W46" i="9"/>
  <c r="Y46" i="9" s="1"/>
  <c r="X46" i="9"/>
  <c r="W47" i="9"/>
  <c r="Y47" i="9" s="1"/>
  <c r="X47" i="9"/>
  <c r="W48" i="9"/>
  <c r="X48" i="9"/>
  <c r="Y48" i="9"/>
  <c r="W49" i="9"/>
  <c r="X49" i="9"/>
  <c r="Y49" i="9"/>
  <c r="W50" i="9"/>
  <c r="X50" i="9"/>
  <c r="Y50" i="9"/>
  <c r="W51" i="9"/>
  <c r="Y51" i="9" s="1"/>
  <c r="X51" i="9"/>
  <c r="W52" i="9"/>
  <c r="X52" i="9"/>
  <c r="Y52" i="9"/>
  <c r="W53" i="9"/>
  <c r="Y53" i="9" s="1"/>
  <c r="X53" i="9"/>
  <c r="AA53" i="9"/>
  <c r="W54" i="9"/>
  <c r="X54" i="9"/>
  <c r="Y54" i="9"/>
  <c r="W55" i="9"/>
  <c r="X55" i="9"/>
  <c r="Y55" i="9"/>
  <c r="W56" i="9"/>
  <c r="Y56" i="9" s="1"/>
  <c r="X56" i="9"/>
  <c r="W57" i="9"/>
  <c r="Y57" i="9" s="1"/>
  <c r="X57" i="9"/>
  <c r="W58" i="9"/>
  <c r="Y58" i="9" s="1"/>
  <c r="X58" i="9"/>
  <c r="W59" i="9"/>
  <c r="Y59" i="9" s="1"/>
  <c r="X59" i="9"/>
  <c r="W60" i="9"/>
  <c r="Y60" i="9" s="1"/>
  <c r="X60" i="9"/>
  <c r="W61" i="9"/>
  <c r="AA61" i="9" s="1"/>
  <c r="X61" i="9"/>
  <c r="Y61" i="9"/>
  <c r="W62" i="9"/>
  <c r="X62" i="9"/>
  <c r="Y62" i="9"/>
  <c r="AA62" i="9"/>
  <c r="W63" i="9"/>
  <c r="X63" i="9"/>
  <c r="Y63" i="9"/>
  <c r="W64" i="9"/>
  <c r="X64" i="9"/>
  <c r="Y64" i="9"/>
  <c r="W65" i="9"/>
  <c r="X65" i="9"/>
  <c r="Y65" i="9"/>
  <c r="W66" i="9"/>
  <c r="Y66" i="9" s="1"/>
  <c r="X66" i="9"/>
  <c r="W67" i="9"/>
  <c r="Y67" i="9" s="1"/>
  <c r="X67" i="9"/>
  <c r="W68" i="9"/>
  <c r="Y68" i="9" s="1"/>
  <c r="X68" i="9"/>
  <c r="W69" i="9"/>
  <c r="Y69" i="9" s="1"/>
  <c r="X69" i="9"/>
  <c r="W70" i="9"/>
  <c r="Y70" i="9" s="1"/>
  <c r="X70" i="9"/>
  <c r="W71" i="9"/>
  <c r="X71" i="9"/>
  <c r="Y71" i="9"/>
  <c r="W72" i="9"/>
  <c r="X72" i="9"/>
  <c r="Y72" i="9"/>
  <c r="W73" i="9"/>
  <c r="X73" i="9"/>
  <c r="Y73" i="9"/>
  <c r="W74" i="9"/>
  <c r="Y74" i="9" s="1"/>
  <c r="X74" i="9"/>
  <c r="W75" i="9"/>
  <c r="Y75" i="9" s="1"/>
  <c r="X75" i="9"/>
  <c r="W76" i="9"/>
  <c r="X76" i="9"/>
  <c r="Y76" i="9"/>
  <c r="W77" i="9"/>
  <c r="Y77" i="9" s="1"/>
  <c r="X77" i="9"/>
  <c r="W78" i="9"/>
  <c r="Y78" i="9" s="1"/>
  <c r="X78" i="9"/>
  <c r="W79" i="9"/>
  <c r="X79" i="9"/>
  <c r="Y79" i="9"/>
  <c r="W80" i="9"/>
  <c r="X80" i="9"/>
  <c r="Y80" i="9"/>
  <c r="W81" i="9"/>
  <c r="X81" i="9"/>
  <c r="Y81" i="9"/>
  <c r="W82" i="9"/>
  <c r="Y82" i="9" s="1"/>
  <c r="X82" i="9"/>
  <c r="W83" i="9"/>
  <c r="X83" i="9"/>
  <c r="Y83" i="9"/>
  <c r="W84" i="9"/>
  <c r="X84" i="9"/>
  <c r="Y84" i="9"/>
  <c r="W85" i="9"/>
  <c r="Y85" i="9" s="1"/>
  <c r="X85" i="9"/>
  <c r="W86" i="9"/>
  <c r="Y86" i="9" s="1"/>
  <c r="X86" i="9"/>
  <c r="W87" i="9"/>
  <c r="X87" i="9"/>
  <c r="Y87" i="9"/>
  <c r="W88" i="9"/>
  <c r="X88" i="9"/>
  <c r="Y88" i="9"/>
  <c r="W89" i="9"/>
  <c r="X89" i="9"/>
  <c r="Y89" i="9"/>
  <c r="W90" i="9"/>
  <c r="Y90" i="9" s="1"/>
  <c r="X90" i="9"/>
  <c r="W91" i="9"/>
  <c r="X91" i="9"/>
  <c r="Y91" i="9"/>
  <c r="W92" i="9"/>
  <c r="X92" i="9"/>
  <c r="Y92" i="9"/>
  <c r="W93" i="9"/>
  <c r="Y93" i="9" s="1"/>
  <c r="X93" i="9"/>
  <c r="W94" i="9"/>
  <c r="Y94" i="9" s="1"/>
  <c r="X94" i="9"/>
  <c r="W95" i="9"/>
  <c r="X95" i="9"/>
  <c r="Y95" i="9"/>
  <c r="W96" i="9"/>
  <c r="X96" i="9"/>
  <c r="Y96" i="9"/>
  <c r="W97" i="9"/>
  <c r="X97" i="9"/>
  <c r="Y97" i="9"/>
  <c r="W98" i="9"/>
  <c r="Y98" i="9" s="1"/>
  <c r="X98" i="9"/>
  <c r="W99" i="9"/>
  <c r="X99" i="9"/>
  <c r="Y99" i="9"/>
  <c r="W100" i="9"/>
  <c r="X100" i="9"/>
  <c r="Y100" i="9"/>
  <c r="W101" i="9"/>
  <c r="Y101" i="9" s="1"/>
  <c r="X101" i="9"/>
  <c r="W102" i="9"/>
  <c r="Y102" i="9" s="1"/>
  <c r="X102" i="9"/>
  <c r="W103" i="9"/>
  <c r="X103" i="9"/>
  <c r="Y103" i="9"/>
  <c r="W104" i="9"/>
  <c r="X104" i="9"/>
  <c r="Y104" i="9"/>
  <c r="W105" i="9"/>
  <c r="X105" i="9"/>
  <c r="Y105" i="9"/>
  <c r="W106" i="9"/>
  <c r="Y106" i="9" s="1"/>
  <c r="X106" i="9"/>
  <c r="W107" i="9"/>
  <c r="X107" i="9"/>
  <c r="Y107" i="9"/>
  <c r="W108" i="9"/>
  <c r="X108" i="9"/>
  <c r="Y108" i="9"/>
  <c r="W109" i="9"/>
  <c r="Y109" i="9" s="1"/>
  <c r="X109" i="9"/>
  <c r="W110" i="9"/>
  <c r="Y110" i="9" s="1"/>
  <c r="X110" i="9"/>
  <c r="W111" i="9"/>
  <c r="X111" i="9"/>
  <c r="Y111" i="9"/>
  <c r="W112" i="9"/>
  <c r="X112" i="9"/>
  <c r="Y112" i="9"/>
  <c r="W113" i="9"/>
  <c r="X113" i="9"/>
  <c r="Y113" i="9"/>
  <c r="W114" i="9"/>
  <c r="Y114" i="9" s="1"/>
  <c r="X114" i="9"/>
  <c r="W115" i="9"/>
  <c r="X115" i="9"/>
  <c r="Y115" i="9"/>
  <c r="W116" i="9"/>
  <c r="X116" i="9"/>
  <c r="Y116" i="9"/>
  <c r="W117" i="9"/>
  <c r="Y117" i="9" s="1"/>
  <c r="X117" i="9"/>
  <c r="W118" i="9"/>
  <c r="Y118" i="9" s="1"/>
  <c r="X118" i="9"/>
  <c r="AA118" i="9"/>
  <c r="W119" i="9"/>
  <c r="Y119" i="9" s="1"/>
  <c r="X119" i="9"/>
  <c r="W120" i="9"/>
  <c r="X120" i="9"/>
  <c r="Y120" i="9"/>
  <c r="W121" i="9"/>
  <c r="X121" i="9"/>
  <c r="Y121" i="9"/>
  <c r="W122" i="9"/>
  <c r="Y122" i="9" s="1"/>
  <c r="X122" i="9"/>
  <c r="W123" i="9"/>
  <c r="Y123" i="9" s="1"/>
  <c r="X123" i="9"/>
  <c r="W124" i="9"/>
  <c r="X124" i="9"/>
  <c r="Y124" i="9"/>
  <c r="W125" i="9"/>
  <c r="X125" i="9"/>
  <c r="Y125" i="9"/>
  <c r="W126" i="9"/>
  <c r="X126" i="9"/>
  <c r="Y126" i="9"/>
  <c r="W127" i="9"/>
  <c r="Y127" i="9" s="1"/>
  <c r="X127" i="9"/>
  <c r="W128" i="9"/>
  <c r="X128" i="9"/>
  <c r="Y128" i="9"/>
  <c r="W129" i="9"/>
  <c r="X129" i="9"/>
  <c r="Y129" i="9"/>
  <c r="W130" i="9"/>
  <c r="Y130" i="9" s="1"/>
  <c r="X130" i="9"/>
  <c r="W131" i="9"/>
  <c r="Y131" i="9" s="1"/>
  <c r="X131" i="9"/>
  <c r="W132" i="9"/>
  <c r="X132" i="9"/>
  <c r="Y132" i="9"/>
  <c r="W133" i="9"/>
  <c r="X133" i="9"/>
  <c r="Y133" i="9"/>
  <c r="W134" i="9"/>
  <c r="X134" i="9"/>
  <c r="Y134" i="9"/>
  <c r="W135" i="9"/>
  <c r="Y135" i="9" s="1"/>
  <c r="X135" i="9"/>
  <c r="W136" i="9"/>
  <c r="X136" i="9"/>
  <c r="Y136" i="9"/>
  <c r="W137" i="9"/>
  <c r="X137" i="9"/>
  <c r="Y137" i="9"/>
  <c r="W138" i="9"/>
  <c r="Y138" i="9" s="1"/>
  <c r="X138" i="9"/>
  <c r="W139" i="9"/>
  <c r="Y139" i="9" s="1"/>
  <c r="X139" i="9"/>
  <c r="W140" i="9"/>
  <c r="X140" i="9"/>
  <c r="Y140" i="9"/>
  <c r="W141" i="9"/>
  <c r="X141" i="9"/>
  <c r="Y141" i="9"/>
  <c r="W142" i="9"/>
  <c r="X142" i="9"/>
  <c r="Y142" i="9"/>
  <c r="W143" i="9"/>
  <c r="Y143" i="9" s="1"/>
  <c r="X143" i="9"/>
  <c r="W144" i="9"/>
  <c r="X144" i="9"/>
  <c r="Y144" i="9"/>
  <c r="W145" i="9"/>
  <c r="X145" i="9"/>
  <c r="Y145" i="9"/>
  <c r="W146" i="9"/>
  <c r="Y146" i="9" s="1"/>
  <c r="X146" i="9"/>
  <c r="W147" i="9"/>
  <c r="Y147" i="9" s="1"/>
  <c r="X147" i="9"/>
  <c r="W148" i="9"/>
  <c r="X148" i="9"/>
  <c r="Y148" i="9"/>
  <c r="W149" i="9"/>
  <c r="X149" i="9"/>
  <c r="Y149" i="9"/>
  <c r="W150" i="9"/>
  <c r="X150" i="9"/>
  <c r="Y150" i="9"/>
  <c r="W151" i="9"/>
  <c r="Y151" i="9" s="1"/>
  <c r="X151" i="9"/>
  <c r="W152" i="9"/>
  <c r="X152" i="9"/>
  <c r="Y152" i="9"/>
  <c r="W153" i="9"/>
  <c r="X153" i="9"/>
  <c r="Y153" i="9"/>
  <c r="W154" i="9"/>
  <c r="Y154" i="9" s="1"/>
  <c r="X154" i="9"/>
  <c r="W155" i="9"/>
  <c r="Y155" i="9" s="1"/>
  <c r="X155" i="9"/>
  <c r="W156" i="9"/>
  <c r="X156" i="9"/>
  <c r="Y156" i="9"/>
  <c r="W157" i="9"/>
  <c r="X157" i="9"/>
  <c r="Y157" i="9"/>
  <c r="W158" i="9"/>
  <c r="X158" i="9"/>
  <c r="Y158" i="9"/>
  <c r="W159" i="9"/>
  <c r="Y159" i="9" s="1"/>
  <c r="X159" i="9"/>
  <c r="W160" i="9"/>
  <c r="X160" i="9"/>
  <c r="Y160" i="9"/>
  <c r="W161" i="9"/>
  <c r="X161" i="9"/>
  <c r="Y161" i="9"/>
  <c r="W162" i="9"/>
  <c r="Y162" i="9" s="1"/>
  <c r="X162" i="9"/>
  <c r="W163" i="9"/>
  <c r="Y163" i="9" s="1"/>
  <c r="X163" i="9"/>
  <c r="W164" i="9"/>
  <c r="X164" i="9"/>
  <c r="Y164" i="9"/>
  <c r="W165" i="9"/>
  <c r="X165" i="9"/>
  <c r="Y165" i="9"/>
  <c r="W166" i="9"/>
  <c r="X166" i="9"/>
  <c r="Y166" i="9"/>
  <c r="W167" i="9"/>
  <c r="Y167" i="9" s="1"/>
  <c r="X167" i="9"/>
  <c r="W168" i="9"/>
  <c r="X168" i="9"/>
  <c r="Y168" i="9"/>
  <c r="W169" i="9"/>
  <c r="X169" i="9"/>
  <c r="Y169" i="9"/>
  <c r="W170" i="9"/>
  <c r="Y170" i="9" s="1"/>
  <c r="X170" i="9"/>
  <c r="W171" i="9"/>
  <c r="Y171" i="9" s="1"/>
  <c r="X171" i="9"/>
  <c r="W172" i="9"/>
  <c r="X172" i="9"/>
  <c r="Y172" i="9"/>
  <c r="W173" i="9"/>
  <c r="X173" i="9"/>
  <c r="Y173" i="9"/>
  <c r="W174" i="9"/>
  <c r="X174" i="9"/>
  <c r="Y174" i="9"/>
  <c r="W175" i="9"/>
  <c r="Y175" i="9" s="1"/>
  <c r="X175" i="9"/>
  <c r="W176" i="9"/>
  <c r="X176" i="9"/>
  <c r="Y176" i="9"/>
  <c r="W177" i="9"/>
  <c r="X177" i="9"/>
  <c r="Y177" i="9"/>
  <c r="AA177" i="9"/>
  <c r="W178" i="9"/>
  <c r="X178" i="9"/>
  <c r="Y178" i="9"/>
  <c r="W179" i="9"/>
  <c r="X179" i="9"/>
  <c r="Y179" i="9"/>
  <c r="W180" i="9"/>
  <c r="Y180" i="9" s="1"/>
  <c r="X180" i="9"/>
  <c r="W181" i="9"/>
  <c r="Y181" i="9" s="1"/>
  <c r="X181" i="9"/>
  <c r="W182" i="9"/>
  <c r="X182" i="9"/>
  <c r="Y182" i="9"/>
  <c r="W183" i="9"/>
  <c r="X183" i="9"/>
  <c r="Y183" i="9"/>
  <c r="W184" i="9"/>
  <c r="AA184" i="9" s="1"/>
  <c r="X184" i="9"/>
  <c r="Y184" i="9"/>
  <c r="W185" i="9"/>
  <c r="Y185" i="9" s="1"/>
  <c r="X185" i="9"/>
  <c r="W186" i="9"/>
  <c r="Y186" i="9" s="1"/>
  <c r="X186" i="9"/>
  <c r="W187" i="9"/>
  <c r="X187" i="9"/>
  <c r="Y187" i="9"/>
  <c r="W188" i="9"/>
  <c r="X188" i="9"/>
  <c r="Y188" i="9"/>
  <c r="W189" i="9"/>
  <c r="X189" i="9"/>
  <c r="Y189" i="9"/>
  <c r="W190" i="9"/>
  <c r="Y190" i="9" s="1"/>
  <c r="X190" i="9"/>
  <c r="W191" i="9"/>
  <c r="X191" i="9"/>
  <c r="Y191" i="9"/>
  <c r="W192" i="9"/>
  <c r="X192" i="9"/>
  <c r="Y192" i="9"/>
  <c r="W193" i="9"/>
  <c r="Y193" i="9" s="1"/>
  <c r="X193" i="9"/>
  <c r="W194" i="9"/>
  <c r="Y194" i="9" s="1"/>
  <c r="X194" i="9"/>
  <c r="W195" i="9"/>
  <c r="X195" i="9"/>
  <c r="Y195" i="9"/>
  <c r="W196" i="9"/>
  <c r="X196" i="9"/>
  <c r="Y196" i="9"/>
  <c r="W197" i="9"/>
  <c r="X197" i="9"/>
  <c r="Y197" i="9"/>
  <c r="W198" i="9"/>
  <c r="Y198" i="9" s="1"/>
  <c r="X198" i="9"/>
  <c r="W199" i="9"/>
  <c r="X199" i="9"/>
  <c r="Y199" i="9"/>
  <c r="W200" i="9"/>
  <c r="X200" i="9"/>
  <c r="Y200" i="9"/>
  <c r="W201" i="9"/>
  <c r="Y201" i="9" s="1"/>
  <c r="X201" i="9"/>
  <c r="W202" i="9"/>
  <c r="Y202" i="9" s="1"/>
  <c r="X202" i="9"/>
  <c r="W203" i="9"/>
  <c r="X203" i="9"/>
  <c r="Y203" i="9"/>
  <c r="W204" i="9"/>
  <c r="X204" i="9"/>
  <c r="Y204" i="9"/>
  <c r="W205" i="9"/>
  <c r="X205" i="9"/>
  <c r="Y205" i="9"/>
  <c r="W206" i="9"/>
  <c r="Y206" i="9" s="1"/>
  <c r="X206" i="9"/>
  <c r="W207" i="9"/>
  <c r="X207" i="9"/>
  <c r="Y207" i="9"/>
  <c r="W208" i="9"/>
  <c r="X208" i="9"/>
  <c r="Y208" i="9"/>
  <c r="W209" i="9"/>
  <c r="Y209" i="9" s="1"/>
  <c r="X209" i="9"/>
  <c r="W210" i="9"/>
  <c r="Y210" i="9" s="1"/>
  <c r="X210" i="9"/>
  <c r="W211" i="9"/>
  <c r="X211" i="9"/>
  <c r="Y211" i="9"/>
  <c r="W212" i="9"/>
  <c r="X212" i="9"/>
  <c r="Y212" i="9"/>
  <c r="W213" i="9"/>
  <c r="X213" i="9"/>
  <c r="Y213" i="9"/>
  <c r="W214" i="9"/>
  <c r="Y214" i="9" s="1"/>
  <c r="X214" i="9"/>
  <c r="W215" i="9"/>
  <c r="X215" i="9"/>
  <c r="Y215" i="9"/>
  <c r="W216" i="9"/>
  <c r="X216" i="9"/>
  <c r="Y216" i="9"/>
  <c r="W217" i="9"/>
  <c r="Y217" i="9" s="1"/>
  <c r="X217" i="9"/>
  <c r="W218" i="9"/>
  <c r="Y218" i="9" s="1"/>
  <c r="X218" i="9"/>
  <c r="W219" i="9"/>
  <c r="X219" i="9"/>
  <c r="Y219" i="9"/>
  <c r="W220" i="9"/>
  <c r="X220" i="9"/>
  <c r="Y220" i="9"/>
  <c r="W221" i="9"/>
  <c r="AA221" i="9" s="1"/>
  <c r="X221" i="9"/>
  <c r="Y221" i="9"/>
  <c r="W222" i="9"/>
  <c r="Y222" i="9" s="1"/>
  <c r="X222" i="9"/>
  <c r="W223" i="9"/>
  <c r="Y223" i="9" s="1"/>
  <c r="X223" i="9"/>
  <c r="W224" i="9"/>
  <c r="X224" i="9"/>
  <c r="Y224" i="9"/>
  <c r="W225" i="9"/>
  <c r="X225" i="9"/>
  <c r="Y225" i="9"/>
  <c r="W226" i="9"/>
  <c r="X226" i="9"/>
  <c r="Y226" i="9"/>
  <c r="W227" i="9"/>
  <c r="Y227" i="9" s="1"/>
  <c r="X227" i="9"/>
  <c r="W228" i="9"/>
  <c r="X228" i="9"/>
  <c r="Y228" i="9"/>
  <c r="W229" i="9"/>
  <c r="X229" i="9"/>
  <c r="Y229" i="9"/>
  <c r="W230" i="9"/>
  <c r="Y230" i="9" s="1"/>
  <c r="X230" i="9"/>
  <c r="W231" i="9"/>
  <c r="Y231" i="9" s="1"/>
  <c r="X231" i="9"/>
  <c r="W232" i="9"/>
  <c r="X232" i="9"/>
  <c r="Y232" i="9"/>
  <c r="W233" i="9"/>
  <c r="X233" i="9"/>
  <c r="Y233" i="9"/>
  <c r="W234" i="9"/>
  <c r="X234" i="9"/>
  <c r="Y234" i="9"/>
  <c r="W235" i="9"/>
  <c r="Y235" i="9" s="1"/>
  <c r="X235" i="9"/>
  <c r="W236" i="9"/>
  <c r="X236" i="9"/>
  <c r="Y236" i="9"/>
  <c r="W237" i="9"/>
  <c r="X237" i="9"/>
  <c r="Y237" i="9"/>
  <c r="W238" i="9"/>
  <c r="Y238" i="9" s="1"/>
  <c r="X238" i="9"/>
  <c r="W239" i="9"/>
  <c r="Y239" i="9" s="1"/>
  <c r="X239" i="9"/>
  <c r="W240" i="9"/>
  <c r="X240" i="9"/>
  <c r="Y240" i="9"/>
  <c r="W241" i="9"/>
  <c r="X241" i="9"/>
  <c r="Y241" i="9"/>
  <c r="W242" i="9"/>
  <c r="X242" i="9"/>
  <c r="Y242" i="9"/>
  <c r="W243" i="9"/>
  <c r="Y243" i="9" s="1"/>
  <c r="X243" i="9"/>
  <c r="W244" i="9"/>
  <c r="X244" i="9"/>
  <c r="Y244" i="9"/>
  <c r="W245" i="9"/>
  <c r="X245" i="9"/>
  <c r="Y245" i="9"/>
  <c r="W246" i="9"/>
  <c r="Y246" i="9" s="1"/>
  <c r="X246" i="9"/>
  <c r="W247" i="9"/>
  <c r="Y247" i="9" s="1"/>
  <c r="X247" i="9"/>
  <c r="W248" i="9"/>
  <c r="X248" i="9"/>
  <c r="Y248" i="9"/>
  <c r="W249" i="9"/>
  <c r="X249" i="9"/>
  <c r="Y249" i="9"/>
  <c r="W250" i="9"/>
  <c r="X250" i="9"/>
  <c r="Y250" i="9"/>
  <c r="W251" i="9"/>
  <c r="Y251" i="9" s="1"/>
  <c r="X251" i="9"/>
  <c r="W252" i="9"/>
  <c r="X252" i="9"/>
  <c r="Y252" i="9"/>
  <c r="W253" i="9"/>
  <c r="X253" i="9"/>
  <c r="Y253" i="9"/>
  <c r="W254" i="9"/>
  <c r="Y254" i="9" s="1"/>
  <c r="X254" i="9"/>
  <c r="W255" i="9"/>
  <c r="Y255" i="9" s="1"/>
  <c r="X255" i="9"/>
  <c r="W256" i="9"/>
  <c r="X256" i="9"/>
  <c r="Y256" i="9"/>
  <c r="W257" i="9"/>
  <c r="X257" i="9"/>
  <c r="Y257" i="9"/>
  <c r="W258" i="9"/>
  <c r="X258" i="9"/>
  <c r="Y258" i="9"/>
  <c r="W259" i="9"/>
  <c r="Y259" i="9" s="1"/>
  <c r="X259" i="9"/>
  <c r="W260" i="9"/>
  <c r="X260" i="9"/>
  <c r="Y260" i="9"/>
  <c r="W261" i="9"/>
  <c r="X261" i="9"/>
  <c r="Y261" i="9"/>
  <c r="W262" i="9"/>
  <c r="X262" i="9"/>
  <c r="W263" i="9"/>
  <c r="X263" i="9"/>
  <c r="Y263" i="9"/>
  <c r="W264" i="9"/>
  <c r="Y264" i="9" s="1"/>
  <c r="X264" i="9"/>
  <c r="W265" i="9"/>
  <c r="X265" i="9"/>
  <c r="Y265" i="9"/>
  <c r="W266" i="9"/>
  <c r="X266" i="9"/>
  <c r="Y266" i="9"/>
  <c r="W267" i="9"/>
  <c r="Y267" i="9" s="1"/>
  <c r="X267" i="9"/>
  <c r="W268" i="9"/>
  <c r="Y268" i="9" s="1"/>
  <c r="X268" i="9"/>
  <c r="W269" i="9"/>
  <c r="X269" i="9"/>
  <c r="Y269" i="9"/>
  <c r="W270" i="9"/>
  <c r="X270" i="9"/>
  <c r="Y270" i="9"/>
  <c r="W271" i="9"/>
  <c r="X271" i="9"/>
  <c r="Y271" i="9"/>
  <c r="W272" i="9"/>
  <c r="Y272" i="9" s="1"/>
  <c r="X272" i="9"/>
  <c r="W273" i="9"/>
  <c r="X273" i="9"/>
  <c r="Y273" i="9"/>
  <c r="W274" i="9"/>
  <c r="X274" i="9"/>
  <c r="Y274" i="9"/>
  <c r="W275" i="9"/>
  <c r="Y275" i="9" s="1"/>
  <c r="X275" i="9"/>
  <c r="W276" i="9"/>
  <c r="Y276" i="9" s="1"/>
  <c r="X276" i="9"/>
  <c r="W277" i="9"/>
  <c r="X277" i="9"/>
  <c r="Y277" i="9"/>
  <c r="W278" i="9"/>
  <c r="X278" i="9"/>
  <c r="Y278" i="9"/>
  <c r="W279" i="9"/>
  <c r="X279" i="9"/>
  <c r="Y279" i="9"/>
  <c r="W280" i="9"/>
  <c r="Y280" i="9" s="1"/>
  <c r="X280" i="9"/>
  <c r="W281" i="9"/>
  <c r="X281" i="9"/>
  <c r="Y281" i="9"/>
  <c r="W282" i="9"/>
  <c r="X282" i="9"/>
  <c r="Y282" i="9"/>
  <c r="W283" i="9"/>
  <c r="Y283" i="9" s="1"/>
  <c r="X283" i="9"/>
  <c r="W284" i="9"/>
  <c r="Y284" i="9" s="1"/>
  <c r="X284" i="9"/>
  <c r="W285" i="9"/>
  <c r="X285" i="9"/>
  <c r="Y285" i="9"/>
  <c r="W286" i="9"/>
  <c r="X286" i="9"/>
  <c r="Y286" i="9"/>
  <c r="W287" i="9"/>
  <c r="X287" i="9"/>
  <c r="Y287" i="9"/>
  <c r="W288" i="9"/>
  <c r="Y288" i="9" s="1"/>
  <c r="X288" i="9"/>
  <c r="W289" i="9"/>
  <c r="X289" i="9"/>
  <c r="Y289" i="9"/>
  <c r="W290" i="9"/>
  <c r="X290" i="9"/>
  <c r="Y290" i="9"/>
  <c r="W291" i="9"/>
  <c r="Y291" i="9" s="1"/>
  <c r="X291" i="9"/>
  <c r="W292" i="9"/>
  <c r="Y292" i="9" s="1"/>
  <c r="X292" i="9"/>
  <c r="W293" i="9"/>
  <c r="X293" i="9"/>
  <c r="Y293" i="9"/>
  <c r="W294" i="9"/>
  <c r="X294" i="9"/>
  <c r="Y294" i="9"/>
  <c r="W295" i="9"/>
  <c r="X295" i="9"/>
  <c r="Y295" i="9"/>
  <c r="W296" i="9"/>
  <c r="Y296" i="9" s="1"/>
  <c r="X296" i="9"/>
  <c r="W297" i="9"/>
  <c r="X297" i="9"/>
  <c r="Y297" i="9"/>
  <c r="W298" i="9"/>
  <c r="X298" i="9"/>
  <c r="Y298" i="9"/>
  <c r="W299" i="9"/>
  <c r="Y299" i="9" s="1"/>
  <c r="X299" i="9"/>
  <c r="W300" i="9"/>
  <c r="Y300" i="9" s="1"/>
  <c r="X300" i="9"/>
  <c r="W301" i="9"/>
  <c r="X301" i="9"/>
  <c r="Y301" i="9"/>
  <c r="W302" i="9"/>
  <c r="X302" i="9"/>
  <c r="Y302" i="9"/>
  <c r="W303" i="9"/>
  <c r="X303" i="9"/>
  <c r="Y303" i="9"/>
  <c r="AA303" i="9"/>
  <c r="W304" i="9"/>
  <c r="Y304" i="9" s="1"/>
  <c r="X304" i="9"/>
  <c r="W305" i="9"/>
  <c r="Y305" i="9" s="1"/>
  <c r="X305" i="9"/>
  <c r="W306" i="9"/>
  <c r="X306" i="9"/>
  <c r="Y306" i="9"/>
  <c r="W307" i="9"/>
  <c r="X307" i="9"/>
  <c r="Y307" i="9"/>
  <c r="W308" i="9"/>
  <c r="X308" i="9"/>
  <c r="Y308" i="9"/>
  <c r="W309" i="9"/>
  <c r="Y309" i="9" s="1"/>
  <c r="X309" i="9"/>
  <c r="W310" i="9"/>
  <c r="X310" i="9"/>
  <c r="Y310" i="9"/>
  <c r="W311" i="9"/>
  <c r="X311" i="9"/>
  <c r="Y311" i="9"/>
  <c r="W312" i="9"/>
  <c r="Y312" i="9" s="1"/>
  <c r="X312" i="9"/>
  <c r="W313" i="9"/>
  <c r="Y313" i="9" s="1"/>
  <c r="X313" i="9"/>
  <c r="W314" i="9"/>
  <c r="X314" i="9"/>
  <c r="Y314" i="9"/>
  <c r="W315" i="9"/>
  <c r="X315" i="9"/>
  <c r="Y315" i="9"/>
  <c r="W316" i="9"/>
  <c r="X316" i="9"/>
  <c r="Y316" i="9"/>
  <c r="W317" i="9"/>
  <c r="Y317" i="9" s="1"/>
  <c r="X317" i="9"/>
  <c r="W318" i="9"/>
  <c r="X318" i="9"/>
  <c r="Y318" i="9"/>
  <c r="W319" i="9"/>
  <c r="X319" i="9"/>
  <c r="Y319" i="9"/>
  <c r="W320" i="9"/>
  <c r="Y320" i="9" s="1"/>
  <c r="X320" i="9"/>
  <c r="W321" i="9"/>
  <c r="Y321" i="9" s="1"/>
  <c r="X321" i="9"/>
  <c r="W322" i="9"/>
  <c r="X322" i="9"/>
  <c r="Y322" i="9"/>
  <c r="W323" i="9"/>
  <c r="X323" i="9"/>
  <c r="Y323" i="9"/>
  <c r="W324" i="9"/>
  <c r="X324" i="9"/>
  <c r="Y324" i="9"/>
  <c r="W325" i="9"/>
  <c r="Y325" i="9" s="1"/>
  <c r="X325" i="9"/>
  <c r="W326" i="9"/>
  <c r="X326" i="9"/>
  <c r="Y326" i="9"/>
  <c r="W327" i="9"/>
  <c r="X327" i="9"/>
  <c r="Y327" i="9"/>
  <c r="W328" i="9"/>
  <c r="Y328" i="9" s="1"/>
  <c r="X328" i="9"/>
  <c r="W329" i="9"/>
  <c r="Y329" i="9" s="1"/>
  <c r="X329" i="9"/>
  <c r="W330" i="9"/>
  <c r="X330" i="9"/>
  <c r="Y330" i="9"/>
  <c r="W331" i="9"/>
  <c r="X331" i="9"/>
  <c r="Y331" i="9"/>
  <c r="W332" i="9"/>
  <c r="X332" i="9"/>
  <c r="Y332" i="9"/>
  <c r="W333" i="9"/>
  <c r="Y333" i="9" s="1"/>
  <c r="X333" i="9"/>
  <c r="W334" i="9"/>
  <c r="X334" i="9"/>
  <c r="Y334" i="9"/>
  <c r="W335" i="9"/>
  <c r="X335" i="9"/>
  <c r="Y335" i="9"/>
  <c r="W336" i="9"/>
  <c r="Y336" i="9" s="1"/>
  <c r="X336" i="9"/>
  <c r="W337" i="9"/>
  <c r="Y337" i="9" s="1"/>
  <c r="X337" i="9"/>
  <c r="W338" i="9"/>
  <c r="X338" i="9"/>
  <c r="Y338" i="9"/>
  <c r="W339" i="9"/>
  <c r="X339" i="9"/>
  <c r="Y339" i="9"/>
  <c r="W340" i="9"/>
  <c r="X340" i="9"/>
  <c r="Y340" i="9"/>
  <c r="W341" i="9"/>
  <c r="Y341" i="9" s="1"/>
  <c r="X341" i="9"/>
  <c r="W342" i="9"/>
  <c r="Y342" i="9" s="1"/>
  <c r="X342" i="9"/>
  <c r="W343" i="9"/>
  <c r="X343" i="9"/>
  <c r="Y343" i="9"/>
  <c r="W344" i="9"/>
  <c r="X344" i="9"/>
  <c r="Y344" i="9"/>
  <c r="AA344" i="9"/>
  <c r="W345" i="9"/>
  <c r="X345" i="9"/>
  <c r="Y345" i="9"/>
  <c r="W346" i="9"/>
  <c r="Y346" i="9" s="1"/>
  <c r="X346" i="9"/>
  <c r="W347" i="9"/>
  <c r="Y347" i="9" s="1"/>
  <c r="X347" i="9"/>
  <c r="W348" i="9"/>
  <c r="X348" i="9"/>
  <c r="Y348" i="9"/>
  <c r="W349" i="9"/>
  <c r="X349" i="9"/>
  <c r="Y349" i="9"/>
  <c r="W350" i="9"/>
  <c r="X350" i="9"/>
  <c r="Y350" i="9"/>
  <c r="W351" i="9"/>
  <c r="Y351" i="9" s="1"/>
  <c r="X351" i="9"/>
  <c r="W352" i="9"/>
  <c r="X352" i="9"/>
  <c r="Y352" i="9"/>
  <c r="W353" i="9"/>
  <c r="X353" i="9"/>
  <c r="Y353" i="9"/>
  <c r="W354" i="9"/>
  <c r="Y354" i="9" s="1"/>
  <c r="X354" i="9"/>
  <c r="W355" i="9"/>
  <c r="Y355" i="9" s="1"/>
  <c r="X355" i="9"/>
  <c r="W356" i="9"/>
  <c r="X356" i="9"/>
  <c r="Y356" i="9"/>
  <c r="W357" i="9"/>
  <c r="X357" i="9"/>
  <c r="Y357" i="9"/>
  <c r="W358" i="9"/>
  <c r="X358" i="9"/>
  <c r="Y358" i="9"/>
  <c r="W359" i="9"/>
  <c r="Y359" i="9" s="1"/>
  <c r="X359" i="9"/>
  <c r="W360" i="9"/>
  <c r="X360" i="9"/>
  <c r="Y360" i="9"/>
  <c r="W361" i="9"/>
  <c r="X361" i="9"/>
  <c r="Y361" i="9"/>
  <c r="W362" i="9"/>
  <c r="Y362" i="9" s="1"/>
  <c r="X362" i="9"/>
  <c r="W363" i="9"/>
  <c r="Y363" i="9" s="1"/>
  <c r="X363" i="9"/>
  <c r="W364" i="9"/>
  <c r="X364" i="9"/>
  <c r="Y364" i="9"/>
  <c r="W365" i="9"/>
  <c r="X365" i="9"/>
  <c r="Y365" i="9"/>
  <c r="W366" i="9"/>
  <c r="AA366" i="9" s="1"/>
  <c r="X366" i="9"/>
  <c r="Y366" i="9"/>
  <c r="W367" i="9"/>
  <c r="Y367" i="9" s="1"/>
  <c r="X367" i="9"/>
  <c r="W368" i="9"/>
  <c r="Y368" i="9" s="1"/>
  <c r="X368" i="9"/>
  <c r="W369" i="9"/>
  <c r="AA369" i="9" s="1"/>
  <c r="X369" i="9"/>
  <c r="Y369" i="9"/>
  <c r="W370" i="9"/>
  <c r="X370" i="9"/>
  <c r="Y370" i="9"/>
  <c r="W371" i="9"/>
  <c r="X371" i="9"/>
  <c r="Y371" i="9"/>
  <c r="W372" i="9"/>
  <c r="Y372" i="9" s="1"/>
  <c r="X372" i="9"/>
  <c r="W373" i="9"/>
  <c r="Y373" i="9" s="1"/>
  <c r="X373" i="9"/>
  <c r="AA373" i="9"/>
  <c r="W374" i="9"/>
  <c r="Y374" i="9" s="1"/>
  <c r="X374" i="9"/>
  <c r="W375" i="9"/>
  <c r="X375" i="9"/>
  <c r="Y375" i="9"/>
  <c r="W376" i="9"/>
  <c r="X376" i="9"/>
  <c r="Y376" i="9"/>
  <c r="W377" i="9"/>
  <c r="Y377" i="9" s="1"/>
  <c r="X377" i="9"/>
  <c r="W378" i="9"/>
  <c r="Y378" i="9" s="1"/>
  <c r="X378" i="9"/>
  <c r="W379" i="9"/>
  <c r="X379" i="9"/>
  <c r="Y379" i="9"/>
  <c r="W380" i="9"/>
  <c r="X380" i="9"/>
  <c r="Y380" i="9"/>
  <c r="AA380" i="9"/>
  <c r="W381" i="9"/>
  <c r="X381" i="9"/>
  <c r="Y381" i="9"/>
  <c r="W382" i="9"/>
  <c r="Y382" i="9" s="1"/>
  <c r="X382" i="9"/>
  <c r="W383" i="9"/>
  <c r="Y383" i="9" s="1"/>
  <c r="X383" i="9"/>
  <c r="W384" i="9"/>
  <c r="X384" i="9"/>
  <c r="Y384" i="9"/>
  <c r="W385" i="9"/>
  <c r="X385" i="9"/>
  <c r="Y385" i="9"/>
  <c r="W386" i="9"/>
  <c r="X386" i="9"/>
  <c r="Y386" i="9"/>
  <c r="W387" i="9"/>
  <c r="Y387" i="9" s="1"/>
  <c r="X387" i="9"/>
  <c r="W388" i="9"/>
  <c r="AA388" i="9" s="1"/>
  <c r="X388" i="9"/>
  <c r="Y388" i="9"/>
  <c r="W389" i="9"/>
  <c r="X389" i="9"/>
  <c r="Y389" i="9"/>
  <c r="W390" i="9"/>
  <c r="X390" i="9"/>
  <c r="Y390" i="9"/>
  <c r="W391" i="9"/>
  <c r="X391" i="9"/>
  <c r="Y391" i="9"/>
  <c r="AA391" i="9"/>
  <c r="W392" i="9"/>
  <c r="X392" i="9"/>
  <c r="W393" i="9"/>
  <c r="X393" i="9"/>
  <c r="Y393" i="9"/>
  <c r="W394" i="9"/>
  <c r="Y394" i="9" s="1"/>
  <c r="X394" i="9"/>
  <c r="W395" i="9"/>
  <c r="X395" i="9"/>
  <c r="Y395" i="9"/>
  <c r="W396" i="9"/>
  <c r="X396" i="9"/>
  <c r="Y396" i="9"/>
  <c r="W397" i="9"/>
  <c r="Y397" i="9" s="1"/>
  <c r="X397" i="9"/>
  <c r="W398" i="9"/>
  <c r="Y398" i="9" s="1"/>
  <c r="X398" i="9"/>
  <c r="W399" i="9"/>
  <c r="X399" i="9"/>
  <c r="Y399" i="9"/>
  <c r="W400" i="9"/>
  <c r="X400" i="9"/>
  <c r="Y400" i="9"/>
  <c r="W401" i="9"/>
  <c r="X401" i="9"/>
  <c r="Y401" i="9"/>
  <c r="W402" i="9"/>
  <c r="Y402" i="9" s="1"/>
  <c r="X402" i="9"/>
  <c r="W403" i="9"/>
  <c r="X403" i="9"/>
  <c r="Y403" i="9"/>
  <c r="W404" i="9"/>
  <c r="X404" i="9"/>
  <c r="Y404" i="9"/>
  <c r="W405" i="9"/>
  <c r="Y405" i="9" s="1"/>
  <c r="X405" i="9"/>
  <c r="W406" i="9"/>
  <c r="Y406" i="9" s="1"/>
  <c r="X406" i="9"/>
  <c r="W407" i="9"/>
  <c r="X407" i="9"/>
  <c r="Y407" i="9"/>
  <c r="W408" i="9"/>
  <c r="X408" i="9"/>
  <c r="Y408" i="9"/>
  <c r="W409" i="9"/>
  <c r="X409" i="9"/>
  <c r="Y409" i="9"/>
  <c r="W410" i="9"/>
  <c r="Y410" i="9" s="1"/>
  <c r="X410" i="9"/>
  <c r="W411" i="9"/>
  <c r="X411" i="9"/>
  <c r="Y411" i="9"/>
  <c r="W412" i="9"/>
  <c r="X412" i="9"/>
  <c r="Y412" i="9"/>
  <c r="W413" i="9"/>
  <c r="Y413" i="9" s="1"/>
  <c r="X413" i="9"/>
  <c r="W414" i="9"/>
  <c r="Y414" i="9" s="1"/>
  <c r="X414" i="9"/>
  <c r="W415" i="9"/>
  <c r="X415" i="9"/>
  <c r="Y415" i="9"/>
  <c r="W416" i="9"/>
  <c r="X416" i="9"/>
  <c r="Y416" i="9"/>
  <c r="W417" i="9"/>
  <c r="X417" i="9"/>
  <c r="Y417" i="9"/>
  <c r="W418" i="9"/>
  <c r="Y418" i="9" s="1"/>
  <c r="X418" i="9"/>
  <c r="W419" i="9"/>
  <c r="X419" i="9"/>
  <c r="Y419" i="9"/>
  <c r="W420" i="9"/>
  <c r="X420" i="9"/>
  <c r="Y420" i="9"/>
  <c r="W421" i="9"/>
  <c r="Y421" i="9" s="1"/>
  <c r="X421" i="9"/>
  <c r="W422" i="9"/>
  <c r="Y422" i="9" s="1"/>
  <c r="X422" i="9"/>
  <c r="W423" i="9"/>
  <c r="X423" i="9"/>
  <c r="Y423" i="9"/>
  <c r="W424" i="9"/>
  <c r="X424" i="9"/>
  <c r="Y424" i="9"/>
  <c r="W425" i="9"/>
  <c r="X425" i="9"/>
  <c r="Y425" i="9"/>
  <c r="W426" i="9"/>
  <c r="Y426" i="9" s="1"/>
  <c r="X426" i="9"/>
  <c r="W427" i="9"/>
  <c r="X427" i="9"/>
  <c r="Y427" i="9"/>
  <c r="W428" i="9"/>
  <c r="X428" i="9"/>
  <c r="Y428" i="9"/>
  <c r="W429" i="9"/>
  <c r="Y429" i="9" s="1"/>
  <c r="X429" i="9"/>
  <c r="W430" i="9"/>
  <c r="Y430" i="9" s="1"/>
  <c r="X430" i="9"/>
  <c r="W431" i="9"/>
  <c r="X431" i="9"/>
  <c r="Y431" i="9"/>
  <c r="W432" i="9"/>
  <c r="X432" i="9"/>
  <c r="Y432" i="9"/>
  <c r="W433" i="9"/>
  <c r="X433" i="9"/>
  <c r="Y433" i="9"/>
  <c r="W434" i="9"/>
  <c r="Y434" i="9" s="1"/>
  <c r="X434" i="9"/>
  <c r="W435" i="9"/>
  <c r="X435" i="9"/>
  <c r="Y435" i="9"/>
  <c r="W436" i="9"/>
  <c r="X436" i="9"/>
  <c r="Y436" i="9"/>
  <c r="W437" i="9"/>
  <c r="Y437" i="9" s="1"/>
  <c r="X437" i="9"/>
  <c r="W438" i="9"/>
  <c r="Y438" i="9" s="1"/>
  <c r="X438" i="9"/>
  <c r="W439" i="9"/>
  <c r="X439" i="9"/>
  <c r="Y439" i="9"/>
  <c r="W440" i="9"/>
  <c r="X440" i="9"/>
  <c r="Y440" i="9"/>
  <c r="AA440" i="9"/>
  <c r="W441" i="9"/>
  <c r="X441" i="9"/>
  <c r="Y441" i="9"/>
  <c r="W442" i="9"/>
  <c r="Y442" i="9" s="1"/>
  <c r="X442" i="9"/>
  <c r="W443" i="9"/>
  <c r="Y443" i="9" s="1"/>
  <c r="X443" i="9"/>
  <c r="W444" i="9"/>
  <c r="X444" i="9"/>
  <c r="Y444" i="9"/>
  <c r="W445" i="9"/>
  <c r="X445" i="9"/>
  <c r="Y445" i="9"/>
  <c r="W446" i="9"/>
  <c r="X446" i="9"/>
  <c r="Y446" i="9"/>
  <c r="W447" i="9"/>
  <c r="Y447" i="9" s="1"/>
  <c r="X447" i="9"/>
  <c r="W448" i="9"/>
  <c r="X448" i="9"/>
  <c r="Y448" i="9"/>
  <c r="W449" i="9"/>
  <c r="X449" i="9"/>
  <c r="Y449" i="9"/>
  <c r="W450" i="9"/>
  <c r="Y450" i="9" s="1"/>
  <c r="X450" i="9"/>
  <c r="W451" i="9"/>
  <c r="Y451" i="9" s="1"/>
  <c r="X451" i="9"/>
  <c r="W452" i="9"/>
  <c r="X452" i="9"/>
  <c r="Y452" i="9"/>
  <c r="W453" i="9"/>
  <c r="X453" i="9"/>
  <c r="Y453" i="9"/>
  <c r="W454" i="9"/>
  <c r="X454" i="9"/>
  <c r="Y454" i="9"/>
  <c r="W455" i="9"/>
  <c r="Y455" i="9" s="1"/>
  <c r="X455" i="9"/>
  <c r="W456" i="9"/>
  <c r="X456" i="9"/>
  <c r="Y456" i="9"/>
  <c r="W457" i="9"/>
  <c r="X457" i="9"/>
  <c r="Y457" i="9"/>
  <c r="W458" i="9"/>
  <c r="Y458" i="9" s="1"/>
  <c r="X458" i="9"/>
  <c r="W459" i="9"/>
  <c r="Y459" i="9" s="1"/>
  <c r="X459" i="9"/>
  <c r="W460" i="9"/>
  <c r="X460" i="9"/>
  <c r="Y460" i="9"/>
  <c r="W461" i="9"/>
  <c r="X461" i="9"/>
  <c r="Y461" i="9"/>
  <c r="W462" i="9"/>
  <c r="X462" i="9"/>
  <c r="Y462" i="9"/>
  <c r="W463" i="9"/>
  <c r="Y463" i="9" s="1"/>
  <c r="X463" i="9"/>
  <c r="W464" i="9"/>
  <c r="X464" i="9"/>
  <c r="Y464" i="9"/>
  <c r="W465" i="9"/>
  <c r="X465" i="9"/>
  <c r="Y465" i="9"/>
  <c r="W466" i="9"/>
  <c r="Y466" i="9" s="1"/>
  <c r="X466" i="9"/>
  <c r="W467" i="9"/>
  <c r="Y467" i="9" s="1"/>
  <c r="X467" i="9"/>
  <c r="W468" i="9"/>
  <c r="X468" i="9"/>
  <c r="Y468" i="9"/>
  <c r="W469" i="9"/>
  <c r="X469" i="9"/>
  <c r="Y469" i="9"/>
  <c r="W470" i="9"/>
  <c r="X470" i="9"/>
  <c r="Y470" i="9"/>
  <c r="W471" i="9"/>
  <c r="Y471" i="9" s="1"/>
  <c r="X471" i="9"/>
  <c r="W472" i="9"/>
  <c r="X472" i="9"/>
  <c r="Y472" i="9"/>
  <c r="W473" i="9"/>
  <c r="X473" i="9"/>
  <c r="Y473" i="9"/>
  <c r="W474" i="9"/>
  <c r="Y474" i="9" s="1"/>
  <c r="X474" i="9"/>
  <c r="W475" i="9"/>
  <c r="Y475" i="9" s="1"/>
  <c r="X475" i="9"/>
  <c r="W476" i="9"/>
  <c r="X476" i="9"/>
  <c r="Y476" i="9"/>
  <c r="W477" i="9"/>
  <c r="X477" i="9"/>
  <c r="Y477" i="9"/>
  <c r="W478" i="9"/>
  <c r="X478" i="9"/>
  <c r="Y478" i="9"/>
  <c r="W479" i="9"/>
  <c r="Y479" i="9" s="1"/>
  <c r="X479" i="9"/>
  <c r="W480" i="9"/>
  <c r="X480" i="9"/>
  <c r="Y480" i="9"/>
  <c r="W481" i="9"/>
  <c r="X481" i="9"/>
  <c r="Y481" i="9"/>
  <c r="W482" i="9"/>
  <c r="Y482" i="9" s="1"/>
  <c r="X482" i="9"/>
  <c r="W483" i="9"/>
  <c r="Y483" i="9" s="1"/>
  <c r="X483" i="9"/>
  <c r="W484" i="9"/>
  <c r="X484" i="9"/>
  <c r="Y484" i="9"/>
  <c r="W485" i="9"/>
  <c r="X485" i="9"/>
  <c r="Y485" i="9"/>
  <c r="W486" i="9"/>
  <c r="X486" i="9"/>
  <c r="Y486" i="9"/>
  <c r="W487" i="9"/>
  <c r="Y487" i="9" s="1"/>
  <c r="X487" i="9"/>
  <c r="W488" i="9"/>
  <c r="X488" i="9"/>
  <c r="Y488" i="9"/>
  <c r="W489" i="9"/>
  <c r="X489" i="9"/>
  <c r="Y489" i="9"/>
  <c r="W490" i="9"/>
  <c r="Y490" i="9" s="1"/>
  <c r="X490" i="9"/>
  <c r="W491" i="9"/>
  <c r="Y491" i="9" s="1"/>
  <c r="X491" i="9"/>
  <c r="AA491" i="9"/>
  <c r="W492" i="9"/>
  <c r="Y492" i="9" s="1"/>
  <c r="X492" i="9"/>
  <c r="W493" i="9"/>
  <c r="X493" i="9"/>
  <c r="Y493" i="9"/>
  <c r="W494" i="9"/>
  <c r="X494" i="9"/>
  <c r="Y494" i="9"/>
  <c r="W495" i="9"/>
  <c r="Y495" i="9" s="1"/>
  <c r="X495" i="9"/>
  <c r="W496" i="9"/>
  <c r="Y496" i="9" s="1"/>
  <c r="X496" i="9"/>
  <c r="W497" i="9"/>
  <c r="X497" i="9"/>
  <c r="Y497" i="9"/>
  <c r="W498" i="9"/>
  <c r="X498" i="9"/>
  <c r="Y498" i="9"/>
  <c r="W499" i="9"/>
  <c r="X499" i="9"/>
  <c r="Y499" i="9"/>
  <c r="W500" i="9"/>
  <c r="Y500" i="9" s="1"/>
  <c r="X500" i="9"/>
  <c r="W501" i="9"/>
  <c r="X501" i="9"/>
  <c r="Y501" i="9"/>
  <c r="W502" i="9"/>
  <c r="X502" i="9"/>
  <c r="Y502" i="9"/>
  <c r="W503" i="9"/>
  <c r="Y503" i="9" s="1"/>
  <c r="X503" i="9"/>
  <c r="W504" i="9"/>
  <c r="Y504" i="9" s="1"/>
  <c r="X504" i="9"/>
  <c r="W505" i="9"/>
  <c r="X505" i="9"/>
  <c r="Y505" i="9"/>
  <c r="W506" i="9"/>
  <c r="X506" i="9"/>
  <c r="Y506" i="9"/>
  <c r="W507" i="9"/>
  <c r="X507" i="9"/>
  <c r="Y507" i="9"/>
  <c r="W508" i="9"/>
  <c r="Y508" i="9" s="1"/>
  <c r="X508" i="9"/>
  <c r="W509" i="9"/>
  <c r="X509" i="9"/>
  <c r="Y509" i="9"/>
  <c r="W510" i="9"/>
  <c r="X510" i="9"/>
  <c r="Y510" i="9"/>
  <c r="W511" i="9"/>
  <c r="Y511" i="9" s="1"/>
  <c r="X511" i="9"/>
  <c r="W512" i="9"/>
  <c r="Y512" i="9" s="1"/>
  <c r="X512" i="9"/>
  <c r="W513" i="9"/>
  <c r="X513" i="9"/>
  <c r="Y513" i="9"/>
  <c r="W514" i="9"/>
  <c r="X514" i="9"/>
  <c r="Y514" i="9"/>
  <c r="W515" i="9"/>
  <c r="X515" i="9"/>
  <c r="Y515" i="9"/>
  <c r="W516" i="9"/>
  <c r="Y516" i="9" s="1"/>
  <c r="X516" i="9"/>
  <c r="W517" i="9"/>
  <c r="X517" i="9"/>
  <c r="Y517" i="9"/>
  <c r="W518" i="9"/>
  <c r="X518" i="9"/>
  <c r="Y518" i="9"/>
  <c r="W519" i="9"/>
  <c r="Y519" i="9" s="1"/>
  <c r="X519" i="9"/>
  <c r="W520" i="9"/>
  <c r="Y520" i="9" s="1"/>
  <c r="X520" i="9"/>
  <c r="W521" i="9"/>
  <c r="X521" i="9"/>
  <c r="Y521" i="9"/>
  <c r="W522" i="9"/>
  <c r="X522" i="9"/>
  <c r="Y522" i="9"/>
  <c r="AA522" i="9"/>
  <c r="W523" i="9"/>
  <c r="X523" i="9"/>
  <c r="Y523" i="9"/>
  <c r="W524" i="9"/>
  <c r="Y524" i="9" s="1"/>
  <c r="X524" i="9"/>
  <c r="W525" i="9"/>
  <c r="Y525" i="9" s="1"/>
  <c r="X525" i="9"/>
  <c r="W526" i="9"/>
  <c r="X526" i="9"/>
  <c r="Y526" i="9"/>
  <c r="W527" i="9"/>
  <c r="X527" i="9"/>
  <c r="Y527" i="9"/>
  <c r="W528" i="9"/>
  <c r="X528" i="9"/>
  <c r="Y528" i="9"/>
  <c r="W529" i="9"/>
  <c r="Y529" i="9" s="1"/>
  <c r="X529" i="9"/>
  <c r="W530" i="9"/>
  <c r="X530" i="9"/>
  <c r="Y530" i="9"/>
  <c r="W531" i="9"/>
  <c r="X531" i="9"/>
  <c r="Y531" i="9"/>
  <c r="W532" i="9"/>
  <c r="Y532" i="9" s="1"/>
  <c r="X532" i="9"/>
  <c r="W533" i="9"/>
  <c r="Y533" i="9" s="1"/>
  <c r="X533" i="9"/>
  <c r="W534" i="9"/>
  <c r="X534" i="9"/>
  <c r="Y534" i="9"/>
  <c r="W535" i="9"/>
  <c r="X535" i="9"/>
  <c r="Y535" i="9"/>
  <c r="W536" i="9"/>
  <c r="X536" i="9"/>
  <c r="Y536" i="9"/>
  <c r="W537" i="9"/>
  <c r="Y537" i="9" s="1"/>
  <c r="X537" i="9"/>
  <c r="W538" i="9"/>
  <c r="X538" i="9"/>
  <c r="Y538" i="9"/>
  <c r="W539" i="9"/>
  <c r="X539" i="9"/>
  <c r="Y539" i="9"/>
  <c r="W540" i="9"/>
  <c r="Y540" i="9" s="1"/>
  <c r="X540" i="9"/>
  <c r="W541" i="9"/>
  <c r="Y541" i="9" s="1"/>
  <c r="X541" i="9"/>
  <c r="W542" i="9"/>
  <c r="X542" i="9"/>
  <c r="Y542" i="9"/>
  <c r="W543" i="9"/>
  <c r="X543" i="9"/>
  <c r="Y543" i="9"/>
  <c r="W544" i="9"/>
  <c r="X544" i="9"/>
  <c r="Y544" i="9"/>
  <c r="W545" i="9"/>
  <c r="Y545" i="9" s="1"/>
  <c r="X545" i="9"/>
  <c r="W546" i="9"/>
  <c r="X546" i="9"/>
  <c r="Y546" i="9"/>
  <c r="W547" i="9"/>
  <c r="X547" i="9"/>
  <c r="Y547" i="9"/>
  <c r="W548" i="9"/>
  <c r="Y548" i="9" s="1"/>
  <c r="X548" i="9"/>
  <c r="W549" i="9"/>
  <c r="Y549" i="9" s="1"/>
  <c r="X549" i="9"/>
  <c r="W550" i="9"/>
  <c r="X550" i="9"/>
  <c r="Y550" i="9"/>
  <c r="W551" i="9"/>
  <c r="X551" i="9"/>
  <c r="Y551" i="9"/>
  <c r="W552" i="9"/>
  <c r="X552" i="9"/>
  <c r="Y552" i="9"/>
  <c r="W553" i="9"/>
  <c r="Y553" i="9" s="1"/>
  <c r="X553" i="9"/>
  <c r="W554" i="9"/>
  <c r="X554" i="9"/>
  <c r="Y554" i="9"/>
  <c r="W555" i="9"/>
  <c r="X555" i="9"/>
  <c r="Y555" i="9"/>
  <c r="W556" i="9"/>
  <c r="Y556" i="9" s="1"/>
  <c r="X556" i="9"/>
  <c r="W557" i="9"/>
  <c r="Y557" i="9" s="1"/>
  <c r="X557" i="9"/>
  <c r="W558" i="9"/>
  <c r="X558" i="9"/>
  <c r="Y558" i="9"/>
  <c r="W559" i="9"/>
  <c r="X559" i="9"/>
  <c r="Y559" i="9"/>
  <c r="W560" i="9"/>
  <c r="X560" i="9"/>
  <c r="Y560" i="9"/>
  <c r="W561" i="9"/>
  <c r="Y561" i="9" s="1"/>
  <c r="X561" i="9"/>
  <c r="W562" i="9"/>
  <c r="X562" i="9"/>
  <c r="Y562" i="9"/>
  <c r="W563" i="9"/>
  <c r="X563" i="9"/>
  <c r="Y563" i="9"/>
  <c r="W564" i="9"/>
  <c r="Y564" i="9" s="1"/>
  <c r="X564" i="9"/>
  <c r="W565" i="9"/>
  <c r="Y565" i="9" s="1"/>
  <c r="X565" i="9"/>
  <c r="W566" i="9"/>
  <c r="X566" i="9"/>
  <c r="Y566" i="9"/>
  <c r="W567" i="9"/>
  <c r="X567" i="9"/>
  <c r="Y567" i="9"/>
  <c r="W568" i="9"/>
  <c r="X568" i="9"/>
  <c r="Y568" i="9"/>
  <c r="W569" i="9"/>
  <c r="Y569" i="9" s="1"/>
  <c r="X569" i="9"/>
  <c r="W570" i="9"/>
  <c r="X570" i="9"/>
  <c r="Y570" i="9"/>
  <c r="W571" i="9"/>
  <c r="X571" i="9"/>
  <c r="Y571" i="9"/>
  <c r="W572" i="9"/>
  <c r="Y572" i="9" s="1"/>
  <c r="X572" i="9"/>
  <c r="W573" i="9"/>
  <c r="Y573" i="9" s="1"/>
  <c r="X573" i="9"/>
  <c r="W574" i="9"/>
  <c r="X574" i="9"/>
  <c r="Y574" i="9"/>
  <c r="W575" i="9"/>
  <c r="X575" i="9"/>
  <c r="Y575" i="9"/>
  <c r="W576" i="9"/>
  <c r="X576" i="9"/>
  <c r="Y576" i="9"/>
  <c r="W577" i="9"/>
  <c r="Y577" i="9" s="1"/>
  <c r="X577" i="9"/>
  <c r="W578" i="9"/>
  <c r="AA578" i="9" s="1"/>
  <c r="X578" i="9"/>
  <c r="Y578" i="9"/>
  <c r="W579" i="9"/>
  <c r="X579" i="9"/>
  <c r="Y579" i="9"/>
  <c r="W580" i="9"/>
  <c r="X580" i="9"/>
  <c r="Y580" i="9"/>
  <c r="W581" i="9"/>
  <c r="X581" i="9"/>
  <c r="Y581" i="9"/>
  <c r="W582" i="9"/>
  <c r="Y582" i="9" s="1"/>
  <c r="X582" i="9"/>
  <c r="W583" i="9"/>
  <c r="X583" i="9"/>
  <c r="Y583" i="9"/>
  <c r="W584" i="9"/>
  <c r="X584" i="9"/>
  <c r="Y584" i="9"/>
  <c r="W585" i="9"/>
  <c r="Y585" i="9" s="1"/>
  <c r="X585" i="9"/>
  <c r="W586" i="9"/>
  <c r="Y586" i="9" s="1"/>
  <c r="X586" i="9"/>
  <c r="AA586" i="9"/>
  <c r="W587" i="9"/>
  <c r="Y587" i="9" s="1"/>
  <c r="X587" i="9"/>
  <c r="W588" i="9"/>
  <c r="X588" i="9"/>
  <c r="Y588" i="9"/>
  <c r="W589" i="9"/>
  <c r="X589" i="9"/>
  <c r="Y589" i="9"/>
  <c r="AA589" i="9"/>
  <c r="W590" i="9"/>
  <c r="X590" i="9"/>
  <c r="Y590" i="9"/>
  <c r="W591" i="9"/>
  <c r="X591" i="9"/>
  <c r="Y591" i="9"/>
  <c r="W592" i="9"/>
  <c r="Y592" i="9" s="1"/>
  <c r="X592" i="9"/>
  <c r="W593" i="9"/>
  <c r="Y593" i="9" s="1"/>
  <c r="X593" i="9"/>
  <c r="W594" i="9"/>
  <c r="Y594" i="9" s="1"/>
  <c r="X594" i="9"/>
  <c r="W595" i="9"/>
  <c r="X595" i="9"/>
  <c r="Y595" i="9"/>
  <c r="W596" i="9"/>
  <c r="X596" i="9"/>
  <c r="Y596" i="9"/>
  <c r="W597" i="9"/>
  <c r="Y597" i="9" s="1"/>
  <c r="X597" i="9"/>
  <c r="W598" i="9"/>
  <c r="X598" i="9"/>
  <c r="Y598" i="9"/>
  <c r="W599" i="9"/>
  <c r="X599" i="9"/>
  <c r="Y599" i="9"/>
  <c r="W600" i="9"/>
  <c r="Y600" i="9" s="1"/>
  <c r="X600" i="9"/>
  <c r="W601" i="9"/>
  <c r="Y601" i="9" s="1"/>
  <c r="X601" i="9"/>
  <c r="W602" i="9"/>
  <c r="X602" i="9"/>
  <c r="Y602" i="9"/>
  <c r="W603" i="9"/>
  <c r="X603" i="9"/>
  <c r="Y603" i="9"/>
  <c r="W604" i="9"/>
  <c r="Y604" i="9" s="1"/>
  <c r="X604" i="9"/>
  <c r="W605" i="9"/>
  <c r="Y605" i="9" s="1"/>
  <c r="X605" i="9"/>
  <c r="W606" i="9"/>
  <c r="X606" i="9"/>
  <c r="Y606" i="9"/>
  <c r="W607" i="9"/>
  <c r="X607" i="9"/>
  <c r="Y607" i="9"/>
  <c r="W608" i="9"/>
  <c r="Y608" i="9" s="1"/>
  <c r="X608" i="9"/>
  <c r="W609" i="9"/>
  <c r="Y609" i="9" s="1"/>
  <c r="X609" i="9"/>
  <c r="W610" i="9"/>
  <c r="Y610" i="9" s="1"/>
  <c r="X610" i="9"/>
  <c r="W611" i="9"/>
  <c r="X611" i="9"/>
  <c r="Y611" i="9"/>
  <c r="W612" i="9"/>
  <c r="Y612" i="9" s="1"/>
  <c r="X612" i="9"/>
  <c r="W613" i="9"/>
  <c r="Y613" i="9" s="1"/>
  <c r="X613" i="9"/>
  <c r="W614" i="9"/>
  <c r="X614" i="9"/>
  <c r="Y614" i="9"/>
  <c r="W615" i="9"/>
  <c r="X615" i="9"/>
  <c r="Y615" i="9"/>
  <c r="W616" i="9"/>
  <c r="Y616" i="9" s="1"/>
  <c r="X616" i="9"/>
  <c r="W617" i="9"/>
  <c r="Y617" i="9" s="1"/>
  <c r="X617" i="9"/>
  <c r="W618" i="9"/>
  <c r="X618" i="9"/>
  <c r="Y618" i="9"/>
  <c r="W619" i="9"/>
  <c r="X619" i="9"/>
  <c r="Y619" i="9"/>
  <c r="W620" i="9"/>
  <c r="X620" i="9"/>
  <c r="Y620" i="9"/>
  <c r="W621" i="9"/>
  <c r="Y621" i="9" s="1"/>
  <c r="X621" i="9"/>
  <c r="W622" i="9"/>
  <c r="X622" i="9"/>
  <c r="Y622" i="9"/>
  <c r="W623" i="9"/>
  <c r="X623" i="9"/>
  <c r="Y623" i="9"/>
  <c r="AA623" i="9"/>
  <c r="W624" i="9"/>
  <c r="X624" i="9"/>
  <c r="Y624" i="9"/>
  <c r="W625" i="9"/>
  <c r="X625" i="9"/>
  <c r="Y625" i="9"/>
  <c r="W626" i="9"/>
  <c r="X626" i="9"/>
  <c r="W627" i="9"/>
  <c r="Y627" i="9" s="1"/>
  <c r="X627" i="9"/>
  <c r="W628" i="9"/>
  <c r="Y628" i="9" s="1"/>
  <c r="X628" i="9"/>
  <c r="W629" i="9"/>
  <c r="X629" i="9"/>
  <c r="Y629" i="9"/>
  <c r="W630" i="9"/>
  <c r="Y630" i="9" s="1"/>
  <c r="X630" i="9"/>
  <c r="W631" i="9"/>
  <c r="Y631" i="9" s="1"/>
  <c r="X631" i="9"/>
  <c r="W632" i="9"/>
  <c r="X632" i="9"/>
  <c r="Y632" i="9"/>
  <c r="W633" i="9"/>
  <c r="X633" i="9"/>
  <c r="Y633" i="9"/>
  <c r="AA633" i="9"/>
  <c r="W634" i="9"/>
  <c r="X634" i="9"/>
  <c r="Y634" i="9"/>
  <c r="W635" i="9"/>
  <c r="Y635" i="9" s="1"/>
  <c r="X635" i="9"/>
  <c r="W636" i="9"/>
  <c r="Y636" i="9" s="1"/>
  <c r="X636" i="9"/>
  <c r="W637" i="9"/>
  <c r="X637" i="9"/>
  <c r="Y637" i="9"/>
  <c r="W638" i="9"/>
  <c r="X638" i="9"/>
  <c r="Y638" i="9"/>
  <c r="W639" i="9"/>
  <c r="Y639" i="9" s="1"/>
  <c r="X639" i="9"/>
  <c r="W640" i="9"/>
  <c r="Y640" i="9" s="1"/>
  <c r="X640" i="9"/>
  <c r="W641" i="9"/>
  <c r="Y641" i="9" s="1"/>
  <c r="X641" i="9"/>
  <c r="W642" i="9"/>
  <c r="X642" i="9"/>
  <c r="Y642" i="9"/>
  <c r="W643" i="9"/>
  <c r="X643" i="9"/>
  <c r="Y643" i="9"/>
  <c r="W644" i="9"/>
  <c r="Y644" i="9" s="1"/>
  <c r="X644" i="9"/>
  <c r="W645" i="9"/>
  <c r="Y645" i="9" s="1"/>
  <c r="X645" i="9"/>
  <c r="W646" i="9"/>
  <c r="X646" i="9"/>
  <c r="Y646" i="9"/>
  <c r="W647" i="9"/>
  <c r="Y647" i="9" s="1"/>
  <c r="X647" i="9"/>
  <c r="W648" i="9"/>
  <c r="Y648" i="9" s="1"/>
  <c r="X648" i="9"/>
  <c r="W649" i="9"/>
  <c r="X649" i="9"/>
  <c r="Y649" i="9"/>
  <c r="W650" i="9"/>
  <c r="X650" i="9"/>
  <c r="Y650" i="9"/>
  <c r="W651" i="9"/>
  <c r="X651" i="9"/>
  <c r="Y651" i="9"/>
  <c r="W652" i="9"/>
  <c r="Y652" i="9" s="1"/>
  <c r="X652" i="9"/>
  <c r="W653" i="9"/>
  <c r="Y653" i="9" s="1"/>
  <c r="X653" i="9"/>
  <c r="W654" i="9"/>
  <c r="X654" i="9"/>
  <c r="Y654" i="9"/>
  <c r="W655" i="9"/>
  <c r="X655" i="9"/>
  <c r="Y655" i="9"/>
  <c r="W656" i="9"/>
  <c r="Y656" i="9" s="1"/>
  <c r="X656" i="9"/>
  <c r="W657" i="9"/>
  <c r="Y657" i="9" s="1"/>
  <c r="X657" i="9"/>
  <c r="W658" i="9"/>
  <c r="Y658" i="9" s="1"/>
  <c r="X658" i="9"/>
  <c r="W659" i="9"/>
  <c r="Y659" i="9" s="1"/>
  <c r="X659" i="9"/>
  <c r="W660" i="9"/>
  <c r="X660" i="9"/>
  <c r="Y660" i="9"/>
  <c r="W661" i="9"/>
  <c r="Y661" i="9" s="1"/>
  <c r="X661" i="9"/>
  <c r="W662" i="9"/>
  <c r="X662" i="9"/>
  <c r="Y662" i="9"/>
  <c r="W663" i="9"/>
  <c r="X663" i="9"/>
  <c r="Y663" i="9"/>
  <c r="W664" i="9"/>
  <c r="Y664" i="9" s="1"/>
  <c r="X664" i="9"/>
  <c r="W665" i="9"/>
  <c r="X665" i="9"/>
  <c r="Y665" i="9"/>
  <c r="W666" i="9"/>
  <c r="Y666" i="9" s="1"/>
  <c r="X666" i="9"/>
  <c r="W667" i="9"/>
  <c r="Y667" i="9" s="1"/>
  <c r="X667" i="9"/>
  <c r="W668" i="9"/>
  <c r="X668" i="9"/>
  <c r="Y668" i="9"/>
  <c r="W669" i="9"/>
  <c r="Y669" i="9" s="1"/>
  <c r="X669" i="9"/>
  <c r="W670" i="9"/>
  <c r="X670" i="9"/>
  <c r="Y670" i="9"/>
  <c r="W671" i="9"/>
  <c r="X671" i="9"/>
  <c r="Y671" i="9"/>
  <c r="W672" i="9"/>
  <c r="Y672" i="9" s="1"/>
  <c r="X672" i="9"/>
  <c r="W673" i="9"/>
  <c r="X673" i="9"/>
  <c r="Y673" i="9"/>
  <c r="W674" i="9"/>
  <c r="Y674" i="9" s="1"/>
  <c r="X674" i="9"/>
  <c r="W675" i="9"/>
  <c r="Y675" i="9" s="1"/>
  <c r="X675" i="9"/>
  <c r="W676" i="9"/>
  <c r="X676" i="9"/>
  <c r="Y676" i="9"/>
  <c r="W677" i="9"/>
  <c r="Y677" i="9" s="1"/>
  <c r="X677" i="9"/>
  <c r="W678" i="9"/>
  <c r="X678" i="9"/>
  <c r="Y678" i="9"/>
  <c r="W679" i="9"/>
  <c r="X679" i="9"/>
  <c r="Y679" i="9"/>
  <c r="W680" i="9"/>
  <c r="Y680" i="9" s="1"/>
  <c r="X680" i="9"/>
  <c r="W681" i="9"/>
  <c r="X681" i="9"/>
  <c r="Y681" i="9"/>
  <c r="W682" i="9"/>
  <c r="Y682" i="9" s="1"/>
  <c r="X682" i="9"/>
  <c r="W683" i="9"/>
  <c r="Y683" i="9" s="1"/>
  <c r="X683" i="9"/>
  <c r="W684" i="9"/>
  <c r="X684" i="9"/>
  <c r="Y684" i="9"/>
  <c r="W685" i="9"/>
  <c r="Y685" i="9" s="1"/>
  <c r="X685" i="9"/>
  <c r="W686" i="9"/>
  <c r="X686" i="9"/>
  <c r="Y686" i="9"/>
  <c r="W687" i="9"/>
  <c r="X687" i="9"/>
  <c r="Y687" i="9"/>
  <c r="W688" i="9"/>
  <c r="Y688" i="9" s="1"/>
  <c r="X688" i="9"/>
  <c r="W689" i="9"/>
  <c r="X689" i="9"/>
  <c r="Y689" i="9"/>
  <c r="W690" i="9"/>
  <c r="Y690" i="9" s="1"/>
  <c r="X690" i="9"/>
  <c r="W691" i="9"/>
  <c r="Y691" i="9" s="1"/>
  <c r="X691" i="9"/>
  <c r="W692" i="9"/>
  <c r="X692" i="9"/>
  <c r="Y692" i="9"/>
  <c r="W693" i="9"/>
  <c r="Y693" i="9" s="1"/>
  <c r="X693" i="9"/>
  <c r="W694" i="9"/>
  <c r="X694" i="9"/>
  <c r="Y694" i="9"/>
  <c r="W695" i="9"/>
  <c r="X695" i="9"/>
  <c r="Y695" i="9"/>
  <c r="W696" i="9"/>
  <c r="Y696" i="9" s="1"/>
  <c r="X696" i="9"/>
  <c r="W697" i="9"/>
  <c r="X697" i="9"/>
  <c r="Y697" i="9"/>
  <c r="W698" i="9"/>
  <c r="Y698" i="9" s="1"/>
  <c r="X698" i="9"/>
  <c r="W699" i="9"/>
  <c r="Y699" i="9" s="1"/>
  <c r="X699" i="9"/>
  <c r="W700" i="9"/>
  <c r="X700" i="9"/>
  <c r="Y700" i="9"/>
  <c r="W701" i="9"/>
  <c r="Y701" i="9" s="1"/>
  <c r="X701" i="9"/>
  <c r="W702" i="9"/>
  <c r="X702" i="9"/>
  <c r="Y702" i="9"/>
  <c r="W703" i="9"/>
  <c r="X703" i="9"/>
  <c r="Y703" i="9"/>
  <c r="W704" i="9"/>
  <c r="Y704" i="9" s="1"/>
  <c r="X704" i="9"/>
  <c r="W705" i="9"/>
  <c r="X705" i="9"/>
  <c r="Y705" i="9"/>
  <c r="W706" i="9"/>
  <c r="Y706" i="9" s="1"/>
  <c r="X706" i="9"/>
  <c r="W707" i="9"/>
  <c r="Y707" i="9" s="1"/>
  <c r="X707" i="9"/>
  <c r="W708" i="9"/>
  <c r="X708" i="9"/>
  <c r="Y708" i="9"/>
  <c r="W709" i="9"/>
  <c r="Y709" i="9" s="1"/>
  <c r="X709" i="9"/>
  <c r="W710" i="9"/>
  <c r="X710" i="9"/>
  <c r="Y710" i="9"/>
  <c r="W711" i="9"/>
  <c r="X711" i="9"/>
  <c r="Y711" i="9"/>
  <c r="W712" i="9"/>
  <c r="Y712" i="9" s="1"/>
  <c r="X712" i="9"/>
  <c r="W713" i="9"/>
  <c r="X713" i="9"/>
  <c r="Y713" i="9"/>
  <c r="W714" i="9"/>
  <c r="Y714" i="9" s="1"/>
  <c r="X714" i="9"/>
  <c r="W715" i="9"/>
  <c r="Y715" i="9" s="1"/>
  <c r="X715" i="9"/>
  <c r="W716" i="9"/>
  <c r="X716" i="9"/>
  <c r="Y716" i="9"/>
  <c r="W717" i="9"/>
  <c r="Y717" i="9" s="1"/>
  <c r="X717" i="9"/>
  <c r="W718" i="9"/>
  <c r="X718" i="9"/>
  <c r="Y718" i="9"/>
  <c r="W719" i="9"/>
  <c r="X719" i="9"/>
  <c r="Y719" i="9"/>
  <c r="W720" i="9"/>
  <c r="Y720" i="9" s="1"/>
  <c r="X720" i="9"/>
  <c r="W721" i="9"/>
  <c r="X721" i="9"/>
  <c r="Y721" i="9"/>
  <c r="W722" i="9"/>
  <c r="Y722" i="9" s="1"/>
  <c r="X722" i="9"/>
  <c r="W723" i="9"/>
  <c r="Y723" i="9" s="1"/>
  <c r="X723" i="9"/>
  <c r="W724" i="9"/>
  <c r="X724" i="9"/>
  <c r="Y724" i="9"/>
  <c r="W725" i="9"/>
  <c r="Y725" i="9" s="1"/>
  <c r="X725" i="9"/>
  <c r="W726" i="9"/>
  <c r="X726" i="9"/>
  <c r="Y726" i="9"/>
  <c r="W727" i="9"/>
  <c r="X727" i="9"/>
  <c r="Y727" i="9"/>
  <c r="W728" i="9"/>
  <c r="Y728" i="9" s="1"/>
  <c r="X728" i="9"/>
  <c r="W729" i="9"/>
  <c r="X729" i="9"/>
  <c r="Y729" i="9"/>
  <c r="W730" i="9"/>
  <c r="Y730" i="9" s="1"/>
  <c r="X730" i="9"/>
  <c r="W731" i="9"/>
  <c r="Y731" i="9" s="1"/>
  <c r="X731" i="9"/>
  <c r="W732" i="9"/>
  <c r="X732" i="9"/>
  <c r="Y732" i="9"/>
  <c r="W733" i="9"/>
  <c r="Y733" i="9" s="1"/>
  <c r="X733" i="9"/>
  <c r="W734" i="9"/>
  <c r="X734" i="9"/>
  <c r="Y734" i="9"/>
  <c r="W735" i="9"/>
  <c r="Y735" i="9" s="1"/>
  <c r="X735" i="9"/>
  <c r="W736" i="9"/>
  <c r="Y736" i="9" s="1"/>
  <c r="X736" i="9"/>
  <c r="W737" i="9"/>
  <c r="X737" i="9"/>
  <c r="Y737" i="9"/>
  <c r="W738" i="9"/>
  <c r="Y738" i="9" s="1"/>
  <c r="X738" i="9"/>
  <c r="W739" i="9"/>
  <c r="X739" i="9"/>
  <c r="Y739" i="9"/>
  <c r="W740" i="9"/>
  <c r="X740" i="9"/>
  <c r="Y740" i="9"/>
  <c r="W741" i="9"/>
  <c r="Y741" i="9" s="1"/>
  <c r="X741" i="9"/>
  <c r="W742" i="9"/>
  <c r="X742" i="9"/>
  <c r="Y742" i="9"/>
  <c r="W743" i="9"/>
  <c r="Y743" i="9" s="1"/>
  <c r="X743" i="9"/>
  <c r="W744" i="9"/>
  <c r="Y744" i="9" s="1"/>
  <c r="X744" i="9"/>
  <c r="W745" i="9"/>
  <c r="X745" i="9"/>
  <c r="Y745" i="9"/>
  <c r="W746" i="9"/>
  <c r="Y746" i="9" s="1"/>
  <c r="X746" i="9"/>
  <c r="W747" i="9"/>
  <c r="X747" i="9"/>
  <c r="Y747" i="9"/>
  <c r="W748" i="9"/>
  <c r="Y748" i="9" s="1"/>
  <c r="X748" i="9"/>
  <c r="W749" i="9"/>
  <c r="Y749" i="9" s="1"/>
  <c r="X749" i="9"/>
  <c r="W750" i="9"/>
  <c r="X750" i="9"/>
  <c r="Y750" i="9"/>
  <c r="W751" i="9"/>
  <c r="Y751" i="9" s="1"/>
  <c r="X751" i="9"/>
  <c r="W752" i="9"/>
  <c r="X752" i="9"/>
  <c r="Y752" i="9"/>
  <c r="W753" i="9"/>
  <c r="X753" i="9"/>
  <c r="Y753" i="9"/>
  <c r="W754" i="9"/>
  <c r="Y754" i="9" s="1"/>
  <c r="X754" i="9"/>
  <c r="W755" i="9"/>
  <c r="X755" i="9"/>
  <c r="Y755" i="9"/>
  <c r="W756" i="9"/>
  <c r="Y756" i="9" s="1"/>
  <c r="X756" i="9"/>
  <c r="W757" i="9"/>
  <c r="Y757" i="9" s="1"/>
  <c r="X757" i="9"/>
  <c r="W758" i="9"/>
  <c r="X758" i="9"/>
  <c r="Y758" i="9"/>
  <c r="W759" i="9"/>
  <c r="Y759" i="9" s="1"/>
  <c r="X759" i="9"/>
  <c r="W760" i="9"/>
  <c r="X760" i="9"/>
  <c r="Y760" i="9"/>
  <c r="W761" i="9"/>
  <c r="X761" i="9"/>
  <c r="Y761" i="9"/>
  <c r="W762" i="9"/>
  <c r="Y762" i="9" s="1"/>
  <c r="X762" i="9"/>
  <c r="W763" i="9"/>
  <c r="X763" i="9"/>
  <c r="Y763" i="9"/>
  <c r="AA746" i="9" l="1"/>
  <c r="AA733" i="9"/>
  <c r="AA653" i="9"/>
  <c r="Y392" i="9"/>
  <c r="AA392" i="9"/>
  <c r="Y262" i="9"/>
  <c r="AA262" i="9"/>
  <c r="AB17" i="9"/>
  <c r="Y626" i="9"/>
  <c r="AA626" i="9"/>
  <c r="AA592" i="9"/>
  <c r="AA341" i="9"/>
  <c r="AA180" i="9"/>
  <c r="I39" i="7" l="1"/>
  <c r="H39" i="7"/>
  <c r="G39" i="7"/>
  <c r="F39" i="7"/>
  <c r="E39" i="7"/>
  <c r="D39" i="7"/>
  <c r="I38" i="7"/>
  <c r="H38" i="7"/>
  <c r="G38" i="7"/>
  <c r="F38" i="7"/>
  <c r="E38" i="7"/>
  <c r="D38" i="7"/>
  <c r="I37" i="7"/>
  <c r="H37" i="7"/>
  <c r="G37" i="7"/>
  <c r="F37" i="7"/>
  <c r="E37" i="7"/>
  <c r="D37" i="7"/>
  <c r="I33" i="7"/>
  <c r="H33" i="7"/>
  <c r="G33" i="7"/>
  <c r="F33" i="7"/>
  <c r="E33" i="7"/>
  <c r="D33" i="7"/>
  <c r="I32" i="7"/>
  <c r="H32" i="7"/>
  <c r="G32" i="7"/>
  <c r="F32" i="7"/>
  <c r="E32" i="7"/>
  <c r="D32" i="7"/>
  <c r="I31" i="7"/>
  <c r="H31" i="7"/>
  <c r="G31" i="7"/>
  <c r="F31" i="7"/>
  <c r="E31" i="7"/>
  <c r="D31" i="7"/>
  <c r="I27" i="7"/>
  <c r="H27" i="7"/>
  <c r="G27" i="7"/>
  <c r="F27" i="7"/>
  <c r="E27" i="7"/>
  <c r="D27" i="7"/>
  <c r="I26" i="7"/>
  <c r="H26" i="7"/>
  <c r="G26" i="7"/>
  <c r="F26" i="7"/>
  <c r="E26" i="7"/>
  <c r="D26" i="7"/>
  <c r="I25" i="7"/>
  <c r="H25" i="7"/>
  <c r="G25" i="7"/>
  <c r="F25" i="7"/>
  <c r="E25" i="7"/>
  <c r="D25" i="7"/>
  <c r="I21" i="7"/>
  <c r="H21" i="7"/>
  <c r="G21" i="7"/>
  <c r="F21" i="7"/>
  <c r="E21" i="7"/>
  <c r="D21" i="7"/>
  <c r="I20" i="7"/>
  <c r="H20" i="7"/>
  <c r="G20" i="7"/>
  <c r="F20" i="7"/>
  <c r="E20" i="7"/>
  <c r="D20" i="7"/>
  <c r="I19" i="7"/>
  <c r="H19" i="7"/>
  <c r="G19" i="7"/>
  <c r="F19" i="7"/>
  <c r="E19" i="7"/>
  <c r="D19" i="7"/>
  <c r="I15" i="7"/>
  <c r="H15" i="7"/>
  <c r="F15" i="7"/>
  <c r="E15" i="7"/>
  <c r="D15" i="7"/>
  <c r="I14" i="7"/>
  <c r="H14" i="7"/>
  <c r="G14" i="7"/>
  <c r="F14" i="7"/>
  <c r="E14" i="7"/>
  <c r="D14" i="7"/>
  <c r="I13" i="7"/>
  <c r="H13" i="7"/>
  <c r="G13" i="7"/>
  <c r="F13" i="7"/>
  <c r="E13" i="7"/>
  <c r="D13" i="7"/>
  <c r="I9" i="7"/>
  <c r="H9" i="7"/>
  <c r="G9" i="7"/>
  <c r="E9" i="7"/>
  <c r="D9" i="7"/>
  <c r="I8" i="7"/>
  <c r="H8" i="7"/>
  <c r="F8" i="7"/>
  <c r="E8" i="7"/>
  <c r="D8" i="7"/>
  <c r="I7" i="7"/>
  <c r="H7" i="7"/>
  <c r="G7" i="7"/>
  <c r="F7" i="7"/>
  <c r="E7" i="7"/>
  <c r="D7" i="7"/>
  <c r="I27" i="4" l="1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G4" i="4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F3" i="3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F4" i="1"/>
</calcChain>
</file>

<file path=xl/sharedStrings.xml><?xml version="1.0" encoding="utf-8"?>
<sst xmlns="http://schemas.openxmlformats.org/spreadsheetml/2006/main" count="1022" uniqueCount="94">
  <si>
    <t>Firefly</t>
  </si>
  <si>
    <t>Renilla</t>
  </si>
  <si>
    <t>Ratio</t>
  </si>
  <si>
    <t>Average</t>
  </si>
  <si>
    <t>Normalization</t>
  </si>
  <si>
    <t>BJ16+ DDX10 OE</t>
  </si>
  <si>
    <t>vRNPs-BJ16 (Cal04-PB1)+ DDX10 OE</t>
  </si>
  <si>
    <t>vRNPs-BJ16 (Cal04-PB2)+ DDX10 OE</t>
  </si>
  <si>
    <t>vRNPs-BJ16(Cal04-NP)+DDX10 OE</t>
  </si>
  <si>
    <t>MG assay</t>
  </si>
  <si>
    <t>A549</t>
  </si>
  <si>
    <t>hpi</t>
  </si>
  <si>
    <t>Replicates</t>
  </si>
  <si>
    <t>12H</t>
  </si>
  <si>
    <t>Replicate 1</t>
  </si>
  <si>
    <t>Replicate 2</t>
  </si>
  <si>
    <t>Replicate 3</t>
  </si>
  <si>
    <t>vRNPs-BJ16(Cal04-PA)+DDX10 OE</t>
  </si>
  <si>
    <t>OE*, Over expression</t>
  </si>
  <si>
    <t>BJ16</t>
  </si>
  <si>
    <t>Cal04</t>
  </si>
  <si>
    <t>vRNPs-BJ16 (Cal04-PB2)</t>
  </si>
  <si>
    <t>vRNPs-BJ16 (Cal04-PB1)</t>
  </si>
  <si>
    <t>vRNPs-BJ16 (Cal04-PA)</t>
  </si>
  <si>
    <t>vRNPs-BJ16 (Cal04-NP)</t>
  </si>
  <si>
    <t>BJ16+DDX10 OE</t>
  </si>
  <si>
    <t>CA04+DDX10 OE</t>
  </si>
  <si>
    <t>OE, Over expression*</t>
  </si>
  <si>
    <t>Fig 4A</t>
  </si>
  <si>
    <t>chiPB1-NT</t>
  </si>
  <si>
    <t>chiPB1-CD</t>
  </si>
  <si>
    <t>chiPB1-CT</t>
  </si>
  <si>
    <t>chiPB1-NT+ DDX10 OE</t>
  </si>
  <si>
    <t>chiPB1-CD+ DDX10 OE</t>
  </si>
  <si>
    <t>chiPB1-CT+ DDX10 OE</t>
  </si>
  <si>
    <t>Fig 4B</t>
  </si>
  <si>
    <t xml:space="preserve">BJ16/H9N2 PB1L298I </t>
  </si>
  <si>
    <t>BJ16/H9N2 PB1V336I</t>
  </si>
  <si>
    <t>BJ16/H9N2 PB1V364I</t>
  </si>
  <si>
    <t>BJ16/H9N2 PB1L298I + DDX10 OE</t>
  </si>
  <si>
    <t>BJ16/H9N2 PB1V336I + DDX10 OE</t>
  </si>
  <si>
    <t>BJ16/H9N2 PB1V364I + DDX10 OE</t>
  </si>
  <si>
    <t>Fig 4C</t>
  </si>
  <si>
    <t>336I</t>
  </si>
  <si>
    <t>364I</t>
  </si>
  <si>
    <t>DDX10 OE</t>
  </si>
  <si>
    <t>336I+DDX10 OE</t>
  </si>
  <si>
    <t>364I+DDX10 OE</t>
  </si>
  <si>
    <t>0H</t>
  </si>
  <si>
    <t>PFU/mL</t>
    <phoneticPr fontId="1" type="noConversion"/>
  </si>
  <si>
    <t>Log10</t>
    <phoneticPr fontId="1" type="noConversion"/>
  </si>
  <si>
    <t>2H</t>
  </si>
  <si>
    <t>24H</t>
  </si>
  <si>
    <t>72H</t>
  </si>
  <si>
    <t>48H</t>
  </si>
  <si>
    <t>Actural seq #</t>
  </si>
  <si>
    <t>GAP</t>
  </si>
  <si>
    <t>Y</t>
  </si>
  <si>
    <t>W</t>
  </si>
  <si>
    <t>V</t>
  </si>
  <si>
    <t>T</t>
  </si>
  <si>
    <t>S</t>
  </si>
  <si>
    <t>R</t>
  </si>
  <si>
    <t>Q</t>
  </si>
  <si>
    <t>P</t>
  </si>
  <si>
    <t>N</t>
  </si>
  <si>
    <t>M</t>
  </si>
  <si>
    <t>L</t>
  </si>
  <si>
    <t>K</t>
  </si>
  <si>
    <t>I</t>
  </si>
  <si>
    <t>H</t>
  </si>
  <si>
    <t>G</t>
  </si>
  <si>
    <t>F</t>
  </si>
  <si>
    <t>E</t>
  </si>
  <si>
    <t>D</t>
  </si>
  <si>
    <t>C</t>
  </si>
  <si>
    <t>A</t>
  </si>
  <si>
    <t>Position</t>
  </si>
  <si>
    <t>Alignment: C:\Users\new user\Desktop\Human H1N1 Pandemic full genome\Human H1N1 full genome-PB1 mafft aa.fas</t>
  </si>
  <si>
    <t>Pdm009 H1N1, PB1_AA_frequency</t>
  </si>
  <si>
    <t>BJ16, PB1_AA_frequency</t>
  </si>
  <si>
    <t>Alignment: F:\新建文件夹\Rizwan_PB1\H9N2_aa.fas</t>
  </si>
  <si>
    <t>True seq num</t>
  </si>
  <si>
    <t>Cal04-(BJ16 PB2)</t>
  </si>
  <si>
    <t>Cal04-(BJ16 PB1)</t>
  </si>
  <si>
    <t>Cal04-(BJ16 PA)</t>
  </si>
  <si>
    <t>Cal04-(BJ16 NP)</t>
  </si>
  <si>
    <t>Cal04 +DDX10 OE</t>
  </si>
  <si>
    <t>Cal04-(BJ16 PB2) +DDX10 OE</t>
  </si>
  <si>
    <t>Cal04-(BJ16 PB1) +DDX10 OE</t>
  </si>
  <si>
    <t>Cal04-(BJ16 PA) +DDX10 OE</t>
  </si>
  <si>
    <t>Cal04-(BJ16 NP) +DDX10 OE</t>
  </si>
  <si>
    <t>BJ16-DDX10 OE</t>
  </si>
  <si>
    <t>Cal04-background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</si>
</sst>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theme="1"/>
      <name val="微软雅黑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Font="1" applyAlignment="1">
      <alignment horizontal="left"/>
    </xf>
    <xf numFmtId="0" fontId="0" fillId="2" borderId="0" xfId="0" applyFill="1"/>
    <xf numFmtId="10" fontId="0" fillId="0" borderId="0" xfId="0" applyNumberFormat="1"/>
    <xf numFmtId="0" fontId="0" fillId="3" borderId="0" xfId="0" applyFill="1"/>
    <xf numFmtId="10" fontId="0" fillId="3" borderId="0" xfId="0" applyNumberFormat="1" applyFill="1"/>
    <xf numFmtId="0" fontId="0" fillId="4" borderId="0" xfId="0" applyFill="1"/>
    <xf numFmtId="10" fontId="0" fillId="4" borderId="0" xfId="0" applyNumberFormat="1" applyFill="1"/>
    <xf numFmtId="0" fontId="0" fillId="2" borderId="0" xfId="0" applyFill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464822</xdr:colOff>
      <xdr:row>3</xdr:row>
      <xdr:rowOff>175260</xdr:rowOff>
    </xdr:from>
    <xdr:to>
      <xdr:col>8</xdr:col>
      <xdr:colOff>320698</xdr:colOff>
      <xdr:row>26</xdr:row>
      <xdr:rowOff>27967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4022" y="723900"/>
          <a:ext cx="3513476" cy="4058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0"/>
  <sheetViews>
    <sheetView tabSelected="1" topLeftCell="A37" workbookViewId="0">
      <selection activeCell="E42" sqref="E42"/>
    </sheetView>
  </sheetViews>
  <sheetFormatPr defaultRowHeight="14.4"/>
  <cols>
    <col min="1" max="1" width="17.33203125" customWidth="1"/>
    <col min="5" max="5" width="34.5546875" customWidth="1"/>
    <col min="6" max="6" width="12.21875" customWidth="1"/>
    <col min="7" max="7" width="4.5546875" customWidth="1"/>
    <col min="10" max="10" width="12.88671875" customWidth="1"/>
  </cols>
  <sheetData>
    <row r="2" spans="1:8">
      <c r="A2" s="4" t="s">
        <v>28</v>
      </c>
      <c r="B2" t="s">
        <v>0</v>
      </c>
      <c r="C2" t="s">
        <v>1</v>
      </c>
      <c r="D2" t="s">
        <v>2</v>
      </c>
      <c r="F2" t="s">
        <v>3</v>
      </c>
      <c r="H2" t="s">
        <v>4</v>
      </c>
    </row>
    <row r="3" spans="1:8">
      <c r="B3" s="19"/>
      <c r="C3" s="19"/>
      <c r="D3" s="19"/>
      <c r="E3" s="19"/>
      <c r="F3" s="19"/>
    </row>
    <row r="4" spans="1:8">
      <c r="A4" t="s">
        <v>14</v>
      </c>
      <c r="B4" s="19">
        <v>439219</v>
      </c>
      <c r="C4" s="19">
        <v>1131582</v>
      </c>
      <c r="D4" s="19">
        <v>0.3881</v>
      </c>
      <c r="E4" s="19"/>
      <c r="F4">
        <f>AVERAGE(D4:D6)</f>
        <v>0.38900000000000001</v>
      </c>
      <c r="H4">
        <f>D4/0.389</f>
        <v>0.99768637532133675</v>
      </c>
    </row>
    <row r="5" spans="1:8">
      <c r="A5" t="s">
        <v>15</v>
      </c>
      <c r="B5" s="19">
        <v>419094</v>
      </c>
      <c r="C5" s="19">
        <v>1053896</v>
      </c>
      <c r="D5" s="19">
        <v>0.3977</v>
      </c>
      <c r="E5" s="19"/>
      <c r="H5">
        <f t="shared" ref="H5:H39" si="0">D5/0.389</f>
        <v>1.0223650385604113</v>
      </c>
    </row>
    <row r="6" spans="1:8">
      <c r="A6" t="s">
        <v>16</v>
      </c>
      <c r="B6" s="19">
        <v>462821</v>
      </c>
      <c r="C6" s="19">
        <v>1214121</v>
      </c>
      <c r="D6" s="19">
        <v>0.38119999999999998</v>
      </c>
      <c r="E6" s="1" t="s">
        <v>19</v>
      </c>
      <c r="H6">
        <f t="shared" si="0"/>
        <v>0.97994858611825186</v>
      </c>
    </row>
    <row r="7" spans="1:8">
      <c r="A7" t="s">
        <v>14</v>
      </c>
      <c r="B7" s="19">
        <v>572824</v>
      </c>
      <c r="C7" s="19">
        <v>1204621</v>
      </c>
      <c r="D7" s="19">
        <v>0.47549999999999998</v>
      </c>
      <c r="E7" s="19"/>
      <c r="F7" s="19"/>
      <c r="H7">
        <f t="shared" si="0"/>
        <v>1.2223650385604112</v>
      </c>
    </row>
    <row r="8" spans="1:8">
      <c r="A8" t="s">
        <v>15</v>
      </c>
      <c r="B8" s="19">
        <v>321372</v>
      </c>
      <c r="C8" s="19">
        <v>1022500</v>
      </c>
      <c r="D8" s="19">
        <v>0.31430000000000002</v>
      </c>
      <c r="E8" s="19"/>
      <c r="F8" s="19"/>
      <c r="H8">
        <f t="shared" si="0"/>
        <v>0.80796915167095118</v>
      </c>
    </row>
    <row r="9" spans="1:8">
      <c r="A9" t="s">
        <v>16</v>
      </c>
      <c r="B9" s="19">
        <v>607208</v>
      </c>
      <c r="C9" s="19">
        <v>1133122</v>
      </c>
      <c r="D9" s="19">
        <v>0.53590000000000004</v>
      </c>
      <c r="E9" s="1" t="s">
        <v>20</v>
      </c>
      <c r="F9" s="19"/>
      <c r="H9">
        <f t="shared" si="0"/>
        <v>1.3776349614395889</v>
      </c>
    </row>
    <row r="10" spans="1:8">
      <c r="A10" t="s">
        <v>14</v>
      </c>
      <c r="B10" s="19">
        <v>463647</v>
      </c>
      <c r="C10" s="19">
        <v>1322885</v>
      </c>
      <c r="D10" s="19">
        <v>0.35049999999999998</v>
      </c>
      <c r="E10" s="19"/>
      <c r="F10" s="19"/>
      <c r="H10">
        <f t="shared" si="0"/>
        <v>0.90102827763496141</v>
      </c>
    </row>
    <row r="11" spans="1:8">
      <c r="A11" t="s">
        <v>15</v>
      </c>
      <c r="B11" s="19">
        <v>466613</v>
      </c>
      <c r="C11" s="19">
        <v>1252017</v>
      </c>
      <c r="D11" s="19">
        <v>0.37269999999999998</v>
      </c>
      <c r="E11" s="19"/>
      <c r="F11" s="19"/>
      <c r="H11">
        <f t="shared" si="0"/>
        <v>0.95809768637532122</v>
      </c>
    </row>
    <row r="12" spans="1:8">
      <c r="A12" t="s">
        <v>16</v>
      </c>
      <c r="B12" s="19">
        <v>398208</v>
      </c>
      <c r="C12" s="19">
        <v>1135608</v>
      </c>
      <c r="D12" s="19">
        <v>0.35070000000000001</v>
      </c>
      <c r="E12" s="3" t="s">
        <v>21</v>
      </c>
      <c r="F12" s="19"/>
      <c r="H12">
        <f t="shared" si="0"/>
        <v>0.90154241645244215</v>
      </c>
    </row>
    <row r="13" spans="1:8">
      <c r="A13" t="s">
        <v>14</v>
      </c>
      <c r="B13" s="19">
        <v>251070</v>
      </c>
      <c r="C13" s="19">
        <v>786572</v>
      </c>
      <c r="D13" s="19">
        <v>0.31919999999999998</v>
      </c>
      <c r="E13" s="19"/>
      <c r="F13" s="19"/>
      <c r="H13">
        <f t="shared" si="0"/>
        <v>0.82056555269922871</v>
      </c>
    </row>
    <row r="14" spans="1:8">
      <c r="A14" t="s">
        <v>15</v>
      </c>
      <c r="B14" s="19">
        <v>351512</v>
      </c>
      <c r="C14" s="19">
        <v>889975</v>
      </c>
      <c r="D14" s="19">
        <v>0.39500000000000002</v>
      </c>
      <c r="E14" s="19"/>
      <c r="F14" s="19"/>
      <c r="H14">
        <f t="shared" si="0"/>
        <v>1.0154241645244215</v>
      </c>
    </row>
    <row r="15" spans="1:8">
      <c r="A15" t="s">
        <v>16</v>
      </c>
      <c r="B15" s="19">
        <v>349128</v>
      </c>
      <c r="C15" s="19">
        <v>953706</v>
      </c>
      <c r="D15" s="19">
        <v>0.36609999999999998</v>
      </c>
      <c r="E15" s="3" t="s">
        <v>22</v>
      </c>
      <c r="F15" s="19"/>
      <c r="G15" s="19"/>
      <c r="H15">
        <f t="shared" si="0"/>
        <v>0.94113110539845746</v>
      </c>
    </row>
    <row r="16" spans="1:8">
      <c r="A16" t="s">
        <v>14</v>
      </c>
      <c r="B16" s="19">
        <v>429617</v>
      </c>
      <c r="C16" s="19">
        <v>1470956</v>
      </c>
      <c r="D16" s="19">
        <v>0.29210000000000003</v>
      </c>
      <c r="E16" s="19"/>
      <c r="F16" s="19"/>
      <c r="H16">
        <f t="shared" si="0"/>
        <v>0.75089974293059125</v>
      </c>
    </row>
    <row r="17" spans="1:8">
      <c r="A17" t="s">
        <v>15</v>
      </c>
      <c r="B17" s="19">
        <v>491194</v>
      </c>
      <c r="C17" s="19">
        <v>1455872</v>
      </c>
      <c r="D17" s="19">
        <v>0.33739999999999998</v>
      </c>
      <c r="E17" s="19"/>
      <c r="F17" s="19"/>
      <c r="H17">
        <f t="shared" si="0"/>
        <v>0.86735218508997425</v>
      </c>
    </row>
    <row r="18" spans="1:8">
      <c r="A18" t="s">
        <v>16</v>
      </c>
      <c r="B18" s="19">
        <v>404166</v>
      </c>
      <c r="C18" s="19">
        <v>1040054</v>
      </c>
      <c r="D18" s="19">
        <v>0.3886</v>
      </c>
      <c r="E18" s="3" t="s">
        <v>23</v>
      </c>
      <c r="F18" s="19"/>
      <c r="H18">
        <f t="shared" si="0"/>
        <v>0.99897172236503851</v>
      </c>
    </row>
    <row r="19" spans="1:8">
      <c r="A19" t="s">
        <v>14</v>
      </c>
      <c r="B19" s="19">
        <v>299009</v>
      </c>
      <c r="C19" s="19">
        <v>730026</v>
      </c>
      <c r="D19" s="19">
        <v>0.40960000000000002</v>
      </c>
      <c r="E19" s="19"/>
      <c r="F19" s="19"/>
      <c r="H19">
        <f t="shared" si="0"/>
        <v>1.0529562982005141</v>
      </c>
    </row>
    <row r="20" spans="1:8">
      <c r="A20" t="s">
        <v>15</v>
      </c>
      <c r="B20" s="19">
        <v>299343</v>
      </c>
      <c r="C20" s="19">
        <v>759124</v>
      </c>
      <c r="D20" s="19">
        <v>0.39429999999999998</v>
      </c>
      <c r="E20" s="19"/>
      <c r="F20" s="19"/>
      <c r="H20">
        <f t="shared" si="0"/>
        <v>1.013624678663239</v>
      </c>
    </row>
    <row r="21" spans="1:8" ht="18" customHeight="1">
      <c r="A21" t="s">
        <v>16</v>
      </c>
      <c r="B21" s="19">
        <v>298807</v>
      </c>
      <c r="C21" s="19">
        <v>817965</v>
      </c>
      <c r="D21" s="19">
        <v>0.36530000000000001</v>
      </c>
      <c r="E21" s="3" t="s">
        <v>24</v>
      </c>
      <c r="F21" s="19"/>
      <c r="H21">
        <f t="shared" si="0"/>
        <v>0.93907455012853469</v>
      </c>
    </row>
    <row r="22" spans="1:8">
      <c r="A22" t="s">
        <v>14</v>
      </c>
      <c r="B22" s="19">
        <v>495115</v>
      </c>
      <c r="C22" s="19">
        <v>872635</v>
      </c>
      <c r="D22" s="19">
        <v>0.56740000000000002</v>
      </c>
      <c r="E22" s="1"/>
      <c r="F22" s="19"/>
      <c r="H22">
        <f t="shared" si="0"/>
        <v>1.458611825192802</v>
      </c>
    </row>
    <row r="23" spans="1:8">
      <c r="A23" t="s">
        <v>15</v>
      </c>
      <c r="B23" s="19">
        <v>858176</v>
      </c>
      <c r="C23" s="19">
        <v>2255509</v>
      </c>
      <c r="D23" s="19">
        <v>0.3805</v>
      </c>
      <c r="E23" s="19"/>
      <c r="F23" s="19"/>
      <c r="H23">
        <f t="shared" si="0"/>
        <v>0.97814910025706936</v>
      </c>
    </row>
    <row r="24" spans="1:8">
      <c r="A24" t="s">
        <v>16</v>
      </c>
      <c r="B24" s="19">
        <v>510392</v>
      </c>
      <c r="C24" s="19">
        <v>941821</v>
      </c>
      <c r="D24" s="19">
        <v>0.54190000000000005</v>
      </c>
      <c r="E24" s="3" t="s">
        <v>7</v>
      </c>
      <c r="F24" s="19"/>
      <c r="H24">
        <f t="shared" si="0"/>
        <v>1.3930591259640104</v>
      </c>
    </row>
    <row r="25" spans="1:8">
      <c r="A25" t="s">
        <v>14</v>
      </c>
      <c r="B25">
        <v>31182576</v>
      </c>
      <c r="C25">
        <v>33774936</v>
      </c>
      <c r="D25">
        <v>0.92320000000000002</v>
      </c>
      <c r="F25" s="19"/>
      <c r="H25">
        <f t="shared" si="0"/>
        <v>2.3732647814910024</v>
      </c>
    </row>
    <row r="26" spans="1:8">
      <c r="A26" t="s">
        <v>15</v>
      </c>
      <c r="B26">
        <v>32012542</v>
      </c>
      <c r="C26">
        <v>34574076</v>
      </c>
      <c r="D26">
        <v>0.92589999999999995</v>
      </c>
      <c r="F26" s="19"/>
      <c r="H26">
        <f t="shared" si="0"/>
        <v>2.3802056555269919</v>
      </c>
    </row>
    <row r="27" spans="1:8">
      <c r="A27" t="s">
        <v>16</v>
      </c>
      <c r="B27" s="19">
        <v>626485</v>
      </c>
      <c r="C27" s="19">
        <v>640569</v>
      </c>
      <c r="D27" s="19">
        <v>0.97799999999999998</v>
      </c>
      <c r="E27" s="14" t="s">
        <v>6</v>
      </c>
      <c r="H27">
        <f t="shared" si="0"/>
        <v>2.5141388174807195</v>
      </c>
    </row>
    <row r="28" spans="1:8">
      <c r="A28" t="s">
        <v>14</v>
      </c>
      <c r="B28" s="19">
        <v>726214</v>
      </c>
      <c r="C28" s="19">
        <v>1923382</v>
      </c>
      <c r="D28" s="19">
        <v>0.37759999999999999</v>
      </c>
      <c r="E28" s="14"/>
      <c r="F28" s="19"/>
      <c r="H28">
        <f t="shared" si="0"/>
        <v>0.97069408740359897</v>
      </c>
    </row>
    <row r="29" spans="1:8">
      <c r="A29" t="s">
        <v>15</v>
      </c>
      <c r="B29" s="19">
        <v>476386</v>
      </c>
      <c r="C29" s="19">
        <v>922531</v>
      </c>
      <c r="D29" s="19">
        <v>0.51639999999999997</v>
      </c>
      <c r="E29" s="14"/>
      <c r="F29" s="19"/>
      <c r="H29">
        <f t="shared" si="0"/>
        <v>1.3275064267352183</v>
      </c>
    </row>
    <row r="30" spans="1:8">
      <c r="A30" t="s">
        <v>16</v>
      </c>
      <c r="B30" s="19">
        <v>269889</v>
      </c>
      <c r="C30" s="19">
        <v>655309</v>
      </c>
      <c r="D30" s="19">
        <v>0.41189999999999999</v>
      </c>
      <c r="E30" s="14" t="s">
        <v>17</v>
      </c>
      <c r="F30" s="19"/>
      <c r="H30">
        <f t="shared" si="0"/>
        <v>1.0588688946015423</v>
      </c>
    </row>
    <row r="31" spans="1:8">
      <c r="A31" t="s">
        <v>14</v>
      </c>
      <c r="B31" s="19">
        <v>359698</v>
      </c>
      <c r="C31" s="19">
        <v>668913</v>
      </c>
      <c r="D31" s="19">
        <v>0.53769999999999996</v>
      </c>
      <c r="E31" s="14"/>
      <c r="F31" s="19"/>
      <c r="H31">
        <f t="shared" si="0"/>
        <v>1.3822622107969149</v>
      </c>
    </row>
    <row r="32" spans="1:8">
      <c r="A32" t="s">
        <v>15</v>
      </c>
      <c r="B32" s="19">
        <v>309804</v>
      </c>
      <c r="C32" s="19">
        <v>535271</v>
      </c>
      <c r="D32" s="19">
        <v>0.57879999999999998</v>
      </c>
      <c r="E32" s="14"/>
      <c r="F32" s="19"/>
      <c r="H32">
        <f t="shared" si="0"/>
        <v>1.487917737789203</v>
      </c>
    </row>
    <row r="33" spans="1:8">
      <c r="A33" t="s">
        <v>16</v>
      </c>
      <c r="B33" s="19">
        <v>849299</v>
      </c>
      <c r="C33" s="19">
        <v>2219977</v>
      </c>
      <c r="D33" s="19">
        <v>0.3826</v>
      </c>
      <c r="E33" s="14" t="s">
        <v>8</v>
      </c>
      <c r="F33" s="19"/>
      <c r="H33">
        <f t="shared" si="0"/>
        <v>0.98354755784061687</v>
      </c>
    </row>
    <row r="34" spans="1:8">
      <c r="A34" t="s">
        <v>14</v>
      </c>
      <c r="B34" s="19">
        <v>650550</v>
      </c>
      <c r="C34" s="19">
        <v>1588524</v>
      </c>
      <c r="D34" s="19">
        <v>0.40949999999999998</v>
      </c>
      <c r="E34" s="19"/>
      <c r="F34" s="19"/>
      <c r="H34">
        <f t="shared" si="0"/>
        <v>1.0526992287917736</v>
      </c>
    </row>
    <row r="35" spans="1:8">
      <c r="A35" t="s">
        <v>15</v>
      </c>
      <c r="B35" s="19">
        <v>613488</v>
      </c>
      <c r="C35" s="19">
        <v>1415977</v>
      </c>
      <c r="D35" s="19">
        <v>0.43330000000000002</v>
      </c>
      <c r="F35" s="19"/>
      <c r="H35">
        <f t="shared" si="0"/>
        <v>1.1138817480719794</v>
      </c>
    </row>
    <row r="36" spans="1:8">
      <c r="A36" t="s">
        <v>16</v>
      </c>
      <c r="B36" s="19">
        <v>577958</v>
      </c>
      <c r="C36" s="19">
        <v>971426</v>
      </c>
      <c r="D36" s="19">
        <v>0.59499999999999997</v>
      </c>
      <c r="E36" s="1" t="s">
        <v>25</v>
      </c>
      <c r="F36" s="20"/>
      <c r="H36">
        <f t="shared" si="0"/>
        <v>1.5295629820051413</v>
      </c>
    </row>
    <row r="37" spans="1:8">
      <c r="A37" t="s">
        <v>14</v>
      </c>
      <c r="B37">
        <v>1925997</v>
      </c>
      <c r="C37">
        <v>1553229</v>
      </c>
      <c r="D37">
        <v>1.24</v>
      </c>
      <c r="E37" s="20"/>
      <c r="F37" s="20"/>
      <c r="H37">
        <f t="shared" si="0"/>
        <v>3.1876606683804627</v>
      </c>
    </row>
    <row r="38" spans="1:8">
      <c r="A38" t="s">
        <v>15</v>
      </c>
      <c r="B38">
        <v>31106916</v>
      </c>
      <c r="C38">
        <v>27940766</v>
      </c>
      <c r="D38">
        <v>1.1133</v>
      </c>
      <c r="H38">
        <f t="shared" si="0"/>
        <v>2.8619537275064264</v>
      </c>
    </row>
    <row r="39" spans="1:8">
      <c r="A39" t="s">
        <v>16</v>
      </c>
      <c r="B39" s="19">
        <v>318514</v>
      </c>
      <c r="C39" s="19">
        <v>516602</v>
      </c>
      <c r="D39" s="19">
        <v>0.8931</v>
      </c>
      <c r="E39" t="s">
        <v>26</v>
      </c>
      <c r="H39">
        <f t="shared" si="0"/>
        <v>2.2958868894601543</v>
      </c>
    </row>
    <row r="41" spans="1:8">
      <c r="E41" t="s">
        <v>27</v>
      </c>
    </row>
    <row r="43" spans="1:8">
      <c r="A43" s="4" t="s">
        <v>93</v>
      </c>
    </row>
    <row r="44" spans="1:8">
      <c r="B44" t="s">
        <v>0</v>
      </c>
      <c r="C44" t="s">
        <v>1</v>
      </c>
      <c r="D44" t="s">
        <v>2</v>
      </c>
      <c r="F44" t="s">
        <v>3</v>
      </c>
      <c r="H44" t="s">
        <v>4</v>
      </c>
    </row>
    <row r="45" spans="1:8">
      <c r="A45" t="s">
        <v>14</v>
      </c>
      <c r="B45">
        <v>96391</v>
      </c>
      <c r="C45">
        <v>520557</v>
      </c>
      <c r="D45">
        <v>0.1852</v>
      </c>
      <c r="F45">
        <v>0.19330000000000003</v>
      </c>
      <c r="H45">
        <v>0.95809622348680812</v>
      </c>
    </row>
    <row r="46" spans="1:8">
      <c r="A46" t="s">
        <v>15</v>
      </c>
      <c r="B46">
        <v>91043</v>
      </c>
      <c r="C46">
        <v>435002</v>
      </c>
      <c r="D46">
        <v>0.20930000000000001</v>
      </c>
      <c r="H46">
        <v>1.08277289187791</v>
      </c>
    </row>
    <row r="47" spans="1:8">
      <c r="A47" t="s">
        <v>16</v>
      </c>
      <c r="B47">
        <v>100346</v>
      </c>
      <c r="C47">
        <v>541170</v>
      </c>
      <c r="D47">
        <v>0.18540000000000001</v>
      </c>
      <c r="E47" t="s">
        <v>20</v>
      </c>
      <c r="H47">
        <v>0.95913088463528196</v>
      </c>
    </row>
    <row r="48" spans="1:8">
      <c r="A48" t="s">
        <v>14</v>
      </c>
      <c r="B48">
        <v>126234</v>
      </c>
      <c r="C48">
        <v>1195210</v>
      </c>
      <c r="D48">
        <v>0.18540000000000001</v>
      </c>
      <c r="H48">
        <v>0.95913088463528196</v>
      </c>
    </row>
    <row r="49" spans="1:8">
      <c r="A49" t="s">
        <v>15</v>
      </c>
      <c r="B49">
        <v>118118</v>
      </c>
      <c r="C49">
        <v>998909</v>
      </c>
      <c r="D49">
        <v>0.1182</v>
      </c>
      <c r="H49">
        <v>0.61148473874805997</v>
      </c>
    </row>
    <row r="50" spans="1:8">
      <c r="A50" t="s">
        <v>16</v>
      </c>
      <c r="B50">
        <v>132842</v>
      </c>
      <c r="C50">
        <v>1139599</v>
      </c>
      <c r="D50">
        <v>0.1166</v>
      </c>
      <c r="E50" t="s">
        <v>19</v>
      </c>
      <c r="H50">
        <v>0.60320744956026895</v>
      </c>
    </row>
    <row r="51" spans="1:8">
      <c r="A51" t="s">
        <v>14</v>
      </c>
      <c r="B51">
        <v>154705</v>
      </c>
      <c r="C51">
        <v>1063351</v>
      </c>
      <c r="D51">
        <v>0.14549999999999999</v>
      </c>
      <c r="H51">
        <v>0.75271598551474383</v>
      </c>
    </row>
    <row r="52" spans="1:8">
      <c r="A52" t="s">
        <v>15</v>
      </c>
      <c r="B52">
        <v>126773</v>
      </c>
      <c r="C52">
        <v>1003379</v>
      </c>
      <c r="D52">
        <v>0.1263</v>
      </c>
      <c r="H52">
        <v>0.65338851526125197</v>
      </c>
    </row>
    <row r="53" spans="1:8">
      <c r="A53" t="s">
        <v>16</v>
      </c>
      <c r="B53">
        <v>124507</v>
      </c>
      <c r="C53">
        <v>844141</v>
      </c>
      <c r="D53">
        <v>0.14749999999999999</v>
      </c>
      <c r="E53" t="s">
        <v>83</v>
      </c>
      <c r="H53">
        <v>0.76306259699948265</v>
      </c>
    </row>
    <row r="54" spans="1:8">
      <c r="A54" t="s">
        <v>14</v>
      </c>
      <c r="B54">
        <v>152845</v>
      </c>
      <c r="C54">
        <v>1038975</v>
      </c>
      <c r="D54">
        <v>0.14710000000000001</v>
      </c>
      <c r="H54">
        <v>0.76099327470253497</v>
      </c>
    </row>
    <row r="55" spans="1:8">
      <c r="A55" t="s">
        <v>15</v>
      </c>
      <c r="B55">
        <v>139256</v>
      </c>
      <c r="C55">
        <v>937986</v>
      </c>
      <c r="D55">
        <v>0.14849999999999999</v>
      </c>
      <c r="H55">
        <v>0.76823590274185205</v>
      </c>
    </row>
    <row r="56" spans="1:8">
      <c r="A56" t="s">
        <v>16</v>
      </c>
      <c r="B56">
        <v>151106</v>
      </c>
      <c r="C56">
        <v>927256</v>
      </c>
      <c r="D56">
        <v>0.16300000000000001</v>
      </c>
      <c r="E56" t="s">
        <v>84</v>
      </c>
      <c r="H56">
        <v>0.84324883600620804</v>
      </c>
    </row>
    <row r="57" spans="1:8">
      <c r="A57" t="s">
        <v>14</v>
      </c>
      <c r="B57">
        <v>103237</v>
      </c>
      <c r="C57">
        <v>610157</v>
      </c>
      <c r="D57">
        <v>0.16919999999999999</v>
      </c>
      <c r="H57">
        <v>0.87532333160889808</v>
      </c>
    </row>
    <row r="58" spans="1:8">
      <c r="A58" t="s">
        <v>15</v>
      </c>
      <c r="B58">
        <v>79691</v>
      </c>
      <c r="C58">
        <v>553315</v>
      </c>
      <c r="D58">
        <v>0.14399999999999999</v>
      </c>
      <c r="H58">
        <v>0.74495602690118978</v>
      </c>
    </row>
    <row r="59" spans="1:8">
      <c r="A59" t="s">
        <v>16</v>
      </c>
      <c r="B59">
        <v>107165</v>
      </c>
      <c r="C59">
        <v>612395</v>
      </c>
      <c r="D59">
        <v>0.17499999999999999</v>
      </c>
      <c r="E59" t="s">
        <v>85</v>
      </c>
      <c r="H59">
        <v>0.90532850491464045</v>
      </c>
    </row>
    <row r="60" spans="1:8">
      <c r="A60" t="s">
        <v>14</v>
      </c>
      <c r="B60">
        <v>149158</v>
      </c>
      <c r="C60">
        <v>1022642</v>
      </c>
      <c r="D60">
        <v>0.1459</v>
      </c>
      <c r="H60">
        <v>0.75478530781169173</v>
      </c>
    </row>
    <row r="61" spans="1:8">
      <c r="A61" t="s">
        <v>15</v>
      </c>
      <c r="B61">
        <v>152103</v>
      </c>
      <c r="C61">
        <v>900559</v>
      </c>
      <c r="D61">
        <v>0.16889999999999999</v>
      </c>
      <c r="H61">
        <v>0.87377133988618727</v>
      </c>
    </row>
    <row r="62" spans="1:8">
      <c r="A62" t="s">
        <v>16</v>
      </c>
      <c r="B62">
        <v>137976</v>
      </c>
      <c r="C62">
        <v>1015931</v>
      </c>
      <c r="D62">
        <v>0.1358</v>
      </c>
      <c r="E62" t="s">
        <v>86</v>
      </c>
      <c r="H62">
        <v>0.70253491981376104</v>
      </c>
    </row>
    <row r="63" spans="1:8">
      <c r="A63" t="s">
        <v>14</v>
      </c>
      <c r="B63">
        <v>89923</v>
      </c>
      <c r="C63">
        <v>152866</v>
      </c>
      <c r="D63">
        <v>0.58830000000000005</v>
      </c>
      <c r="H63">
        <v>3.0434557682359031</v>
      </c>
    </row>
    <row r="64" spans="1:8">
      <c r="A64" t="s">
        <v>15</v>
      </c>
      <c r="B64">
        <v>69181</v>
      </c>
      <c r="C64">
        <v>156738</v>
      </c>
      <c r="D64">
        <v>0.44140000000000001</v>
      </c>
      <c r="H64">
        <v>2.2834971546818417</v>
      </c>
    </row>
    <row r="65" spans="1:8">
      <c r="A65" t="s">
        <v>16</v>
      </c>
      <c r="B65">
        <v>62426</v>
      </c>
      <c r="C65">
        <v>143577</v>
      </c>
      <c r="D65">
        <v>0.43469999999999998</v>
      </c>
      <c r="E65" t="s">
        <v>87</v>
      </c>
      <c r="H65">
        <v>2.2488360062079669</v>
      </c>
    </row>
    <row r="66" spans="1:8">
      <c r="A66" t="s">
        <v>14</v>
      </c>
      <c r="B66">
        <v>56218</v>
      </c>
      <c r="C66">
        <v>167875</v>
      </c>
      <c r="D66">
        <v>0.33479999999999999</v>
      </c>
      <c r="H66">
        <v>1.7320227625452664</v>
      </c>
    </row>
    <row r="67" spans="1:8">
      <c r="A67" t="s">
        <v>15</v>
      </c>
      <c r="B67">
        <v>67338</v>
      </c>
      <c r="C67">
        <v>206638</v>
      </c>
      <c r="D67">
        <v>0.32579999999999998</v>
      </c>
      <c r="H67">
        <v>1.6854630108639419</v>
      </c>
    </row>
    <row r="68" spans="1:8">
      <c r="A68" t="s">
        <v>16</v>
      </c>
      <c r="B68">
        <v>63710</v>
      </c>
      <c r="C68">
        <v>204411</v>
      </c>
      <c r="D68">
        <v>0.31169999999999998</v>
      </c>
      <c r="E68" t="s">
        <v>88</v>
      </c>
      <c r="H68">
        <v>1.6125193998965337</v>
      </c>
    </row>
    <row r="69" spans="1:8">
      <c r="A69" t="s">
        <v>14</v>
      </c>
      <c r="B69">
        <v>103464</v>
      </c>
      <c r="C69">
        <v>518266</v>
      </c>
      <c r="D69">
        <v>0.1996</v>
      </c>
      <c r="H69">
        <v>1.0325918261769271</v>
      </c>
    </row>
    <row r="70" spans="1:8">
      <c r="A70" t="s">
        <v>15</v>
      </c>
      <c r="B70">
        <v>106856</v>
      </c>
      <c r="C70">
        <v>529888</v>
      </c>
      <c r="D70">
        <v>0.20169999999999999</v>
      </c>
      <c r="H70">
        <v>1.0434557682359027</v>
      </c>
    </row>
    <row r="71" spans="1:8">
      <c r="A71" t="s">
        <v>16</v>
      </c>
      <c r="B71">
        <v>87575</v>
      </c>
      <c r="C71">
        <v>297035</v>
      </c>
      <c r="D71">
        <v>0.1762</v>
      </c>
      <c r="E71" t="s">
        <v>89</v>
      </c>
      <c r="H71">
        <v>0.91153647180548369</v>
      </c>
    </row>
    <row r="72" spans="1:8">
      <c r="A72" t="s">
        <v>14</v>
      </c>
      <c r="B72">
        <v>57183</v>
      </c>
      <c r="C72">
        <v>184299</v>
      </c>
      <c r="D72">
        <v>0.31019999999999998</v>
      </c>
      <c r="H72">
        <v>1.6047594412829798</v>
      </c>
    </row>
    <row r="73" spans="1:8">
      <c r="A73" t="s">
        <v>15</v>
      </c>
      <c r="B73">
        <v>55426</v>
      </c>
      <c r="C73">
        <v>173567</v>
      </c>
      <c r="D73">
        <v>0.31929999999999997</v>
      </c>
      <c r="H73">
        <v>1.651836523538541</v>
      </c>
    </row>
    <row r="74" spans="1:8">
      <c r="A74" t="s">
        <v>16</v>
      </c>
      <c r="B74">
        <v>70978</v>
      </c>
      <c r="C74">
        <v>231803</v>
      </c>
      <c r="D74">
        <v>0.30609999999999998</v>
      </c>
      <c r="E74" t="s">
        <v>90</v>
      </c>
      <c r="H74">
        <v>1.5835488877392654</v>
      </c>
    </row>
    <row r="75" spans="1:8">
      <c r="A75" t="s">
        <v>14</v>
      </c>
      <c r="B75">
        <v>83410</v>
      </c>
      <c r="C75">
        <v>214385</v>
      </c>
      <c r="D75">
        <v>0.3891</v>
      </c>
      <c r="H75">
        <v>2.0129332643559232</v>
      </c>
    </row>
    <row r="76" spans="1:8">
      <c r="A76" t="s">
        <v>15</v>
      </c>
      <c r="B76">
        <v>56458</v>
      </c>
      <c r="C76">
        <v>164196</v>
      </c>
      <c r="D76">
        <v>0.34379999999999999</v>
      </c>
      <c r="H76">
        <v>1.7785825142265907</v>
      </c>
    </row>
    <row r="77" spans="1:8">
      <c r="A77" t="s">
        <v>16</v>
      </c>
      <c r="B77">
        <v>52234</v>
      </c>
      <c r="C77">
        <v>142188</v>
      </c>
      <c r="D77">
        <v>0.36730000000000002</v>
      </c>
      <c r="E77" t="s">
        <v>91</v>
      </c>
      <c r="H77">
        <v>1.9001551991722712</v>
      </c>
    </row>
    <row r="78" spans="1:8">
      <c r="A78" t="s">
        <v>14</v>
      </c>
      <c r="B78">
        <v>5750556</v>
      </c>
      <c r="C78">
        <v>46711084</v>
      </c>
      <c r="D78">
        <v>0.1231</v>
      </c>
      <c r="H78">
        <v>0.63683393688566992</v>
      </c>
    </row>
    <row r="79" spans="1:8">
      <c r="A79" t="s">
        <v>15</v>
      </c>
      <c r="B79">
        <v>7084324</v>
      </c>
      <c r="C79">
        <v>48445012</v>
      </c>
      <c r="D79">
        <v>0.1462</v>
      </c>
      <c r="H79">
        <v>0.75633729953440243</v>
      </c>
    </row>
    <row r="80" spans="1:8">
      <c r="A80" t="s">
        <v>16</v>
      </c>
      <c r="B80">
        <v>4941126</v>
      </c>
      <c r="C80">
        <v>30379441</v>
      </c>
      <c r="D80">
        <v>0.16259999999999999</v>
      </c>
      <c r="E80" t="s">
        <v>92</v>
      </c>
      <c r="H80">
        <v>0.84117951370926014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6"/>
  <sheetViews>
    <sheetView workbookViewId="0">
      <selection activeCell="M19" sqref="M19"/>
    </sheetView>
  </sheetViews>
  <sheetFormatPr defaultRowHeight="14.4"/>
  <cols>
    <col min="1" max="1" width="14.21875" customWidth="1"/>
    <col min="2" max="2" width="11.109375" customWidth="1"/>
    <col min="3" max="3" width="10.109375" customWidth="1"/>
    <col min="5" max="5" width="31.88671875" customWidth="1"/>
    <col min="9" max="9" width="13.109375" customWidth="1"/>
  </cols>
  <sheetData>
    <row r="2" spans="1:12">
      <c r="A2" s="4" t="s">
        <v>35</v>
      </c>
      <c r="B2" t="s">
        <v>0</v>
      </c>
      <c r="C2" t="s">
        <v>1</v>
      </c>
      <c r="D2" t="s">
        <v>2</v>
      </c>
      <c r="F2" t="s">
        <v>3</v>
      </c>
      <c r="H2" t="s">
        <v>4</v>
      </c>
    </row>
    <row r="3" spans="1:12">
      <c r="A3" t="s">
        <v>14</v>
      </c>
      <c r="B3">
        <v>1038944</v>
      </c>
      <c r="C3">
        <v>3322522</v>
      </c>
      <c r="D3">
        <v>0.31269999999999998</v>
      </c>
      <c r="F3">
        <f>AVERAGE(D3:D5)</f>
        <v>0.3306</v>
      </c>
      <c r="H3">
        <f>D3/0.3306</f>
        <v>0.94585601935874164</v>
      </c>
    </row>
    <row r="4" spans="1:12">
      <c r="A4" t="s">
        <v>15</v>
      </c>
      <c r="B4">
        <v>1037753</v>
      </c>
      <c r="C4">
        <v>3146708</v>
      </c>
      <c r="D4">
        <v>0.32979999999999998</v>
      </c>
      <c r="H4">
        <f t="shared" ref="H4:H26" si="0">D4/0.3306</f>
        <v>0.99758015728977611</v>
      </c>
    </row>
    <row r="5" spans="1:12">
      <c r="A5" t="s">
        <v>16</v>
      </c>
      <c r="B5">
        <v>1035148</v>
      </c>
      <c r="C5">
        <v>2963222</v>
      </c>
      <c r="D5">
        <v>0.3493</v>
      </c>
      <c r="E5" s="1" t="s">
        <v>19</v>
      </c>
      <c r="H5">
        <f t="shared" si="0"/>
        <v>1.0565638233514822</v>
      </c>
    </row>
    <row r="6" spans="1:12">
      <c r="A6" t="s">
        <v>14</v>
      </c>
      <c r="B6">
        <v>418030</v>
      </c>
      <c r="C6">
        <v>1197379</v>
      </c>
      <c r="D6">
        <v>0.34910000000000002</v>
      </c>
      <c r="H6">
        <f t="shared" si="0"/>
        <v>1.0559588626739262</v>
      </c>
    </row>
    <row r="7" spans="1:12">
      <c r="A7" t="s">
        <v>15</v>
      </c>
      <c r="B7">
        <v>308444</v>
      </c>
      <c r="C7">
        <v>807151</v>
      </c>
      <c r="D7">
        <v>0.3821</v>
      </c>
      <c r="H7">
        <f t="shared" si="0"/>
        <v>1.1557773744706594</v>
      </c>
      <c r="L7" s="2"/>
    </row>
    <row r="8" spans="1:12">
      <c r="A8" t="s">
        <v>16</v>
      </c>
      <c r="B8">
        <v>274467</v>
      </c>
      <c r="C8">
        <v>828975</v>
      </c>
      <c r="D8">
        <v>0.33110000000000001</v>
      </c>
      <c r="E8" s="21" t="s">
        <v>5</v>
      </c>
      <c r="H8">
        <f t="shared" si="0"/>
        <v>1.0015124016938899</v>
      </c>
    </row>
    <row r="9" spans="1:12">
      <c r="A9" t="s">
        <v>14</v>
      </c>
      <c r="B9">
        <v>429946</v>
      </c>
      <c r="C9">
        <v>1207695</v>
      </c>
      <c r="D9">
        <v>0.35599999999999998</v>
      </c>
      <c r="H9">
        <f t="shared" si="0"/>
        <v>1.0768300060496068</v>
      </c>
    </row>
    <row r="10" spans="1:12">
      <c r="A10" t="s">
        <v>15</v>
      </c>
      <c r="B10">
        <v>434894</v>
      </c>
      <c r="C10">
        <v>1231609</v>
      </c>
      <c r="D10">
        <v>0.35310000000000002</v>
      </c>
      <c r="H10">
        <f t="shared" si="0"/>
        <v>1.0680580762250453</v>
      </c>
    </row>
    <row r="11" spans="1:12">
      <c r="A11" t="s">
        <v>16</v>
      </c>
      <c r="B11">
        <v>391164</v>
      </c>
      <c r="C11">
        <v>1062455</v>
      </c>
      <c r="D11">
        <v>0.36820000000000003</v>
      </c>
      <c r="E11" t="s">
        <v>29</v>
      </c>
      <c r="H11">
        <f t="shared" si="0"/>
        <v>1.1137326073805203</v>
      </c>
    </row>
    <row r="12" spans="1:12">
      <c r="A12" t="s">
        <v>14</v>
      </c>
      <c r="B12">
        <v>781008</v>
      </c>
      <c r="C12">
        <v>1504988</v>
      </c>
      <c r="D12">
        <v>0.51890000000000003</v>
      </c>
      <c r="H12">
        <f t="shared" si="0"/>
        <v>1.5695704779189352</v>
      </c>
    </row>
    <row r="13" spans="1:12">
      <c r="A13" t="s">
        <v>15</v>
      </c>
      <c r="B13">
        <v>566628</v>
      </c>
      <c r="C13">
        <v>1349521</v>
      </c>
      <c r="D13">
        <v>0.4199</v>
      </c>
      <c r="H13">
        <f t="shared" si="0"/>
        <v>1.2701149425287357</v>
      </c>
    </row>
    <row r="14" spans="1:12">
      <c r="A14" t="s">
        <v>16</v>
      </c>
      <c r="B14">
        <v>27084324</v>
      </c>
      <c r="C14">
        <v>53435012</v>
      </c>
      <c r="D14">
        <v>0.50680000000000003</v>
      </c>
      <c r="E14" t="s">
        <v>30</v>
      </c>
      <c r="H14">
        <f t="shared" si="0"/>
        <v>1.5329703569267998</v>
      </c>
    </row>
    <row r="15" spans="1:12">
      <c r="A15" t="s">
        <v>14</v>
      </c>
      <c r="B15">
        <v>431780</v>
      </c>
      <c r="C15">
        <v>1223656</v>
      </c>
      <c r="D15">
        <v>0.35289999999999999</v>
      </c>
      <c r="H15">
        <f t="shared" si="0"/>
        <v>1.0674531155474893</v>
      </c>
    </row>
    <row r="16" spans="1:12">
      <c r="A16" t="s">
        <v>15</v>
      </c>
      <c r="B16">
        <v>443275</v>
      </c>
      <c r="C16">
        <v>1302760</v>
      </c>
      <c r="D16">
        <v>0.34029999999999999</v>
      </c>
      <c r="H16">
        <f t="shared" si="0"/>
        <v>1.0293405928614641</v>
      </c>
    </row>
    <row r="17" spans="1:8">
      <c r="A17" t="s">
        <v>16</v>
      </c>
      <c r="B17">
        <v>535927</v>
      </c>
      <c r="C17">
        <v>1689761</v>
      </c>
      <c r="D17">
        <v>0.31719999999999998</v>
      </c>
      <c r="E17" t="s">
        <v>31</v>
      </c>
      <c r="H17">
        <f t="shared" si="0"/>
        <v>0.95946763460375073</v>
      </c>
    </row>
    <row r="18" spans="1:8">
      <c r="A18" t="s">
        <v>14</v>
      </c>
      <c r="B18">
        <v>114064</v>
      </c>
      <c r="C18">
        <v>188293</v>
      </c>
      <c r="D18">
        <v>0.60570000000000002</v>
      </c>
      <c r="H18">
        <f t="shared" si="0"/>
        <v>1.8321234119782215</v>
      </c>
    </row>
    <row r="19" spans="1:8">
      <c r="A19" t="s">
        <v>15</v>
      </c>
      <c r="B19">
        <v>34856</v>
      </c>
      <c r="C19">
        <v>79206</v>
      </c>
      <c r="D19">
        <v>0.44009999999999999</v>
      </c>
      <c r="H19">
        <f t="shared" si="0"/>
        <v>1.3312159709618874</v>
      </c>
    </row>
    <row r="20" spans="1:8">
      <c r="A20" t="s">
        <v>16</v>
      </c>
      <c r="B20">
        <v>29247</v>
      </c>
      <c r="C20">
        <v>79449</v>
      </c>
      <c r="D20">
        <v>0.36809999999999998</v>
      </c>
      <c r="E20" t="s">
        <v>32</v>
      </c>
      <c r="H20">
        <f t="shared" si="0"/>
        <v>1.1134301270417422</v>
      </c>
    </row>
    <row r="21" spans="1:8">
      <c r="A21" t="s">
        <v>14</v>
      </c>
      <c r="B21">
        <v>25035762</v>
      </c>
      <c r="C21">
        <v>22843280</v>
      </c>
      <c r="D21">
        <v>1.0960000000000001</v>
      </c>
      <c r="H21">
        <f t="shared" si="0"/>
        <v>3.3151845130066548</v>
      </c>
    </row>
    <row r="22" spans="1:8">
      <c r="A22" t="s">
        <v>15</v>
      </c>
      <c r="B22">
        <v>24356544</v>
      </c>
      <c r="C22">
        <v>27005386</v>
      </c>
      <c r="D22">
        <v>0.90190000000000003</v>
      </c>
      <c r="H22">
        <f t="shared" si="0"/>
        <v>2.7280701754385968</v>
      </c>
    </row>
    <row r="23" spans="1:8">
      <c r="A23" t="s">
        <v>16</v>
      </c>
      <c r="B23">
        <v>31931034</v>
      </c>
      <c r="C23">
        <v>32414688</v>
      </c>
      <c r="D23">
        <v>0.98509999999999998</v>
      </c>
      <c r="E23" t="s">
        <v>33</v>
      </c>
      <c r="H23">
        <f t="shared" si="0"/>
        <v>2.9797338173018755</v>
      </c>
    </row>
    <row r="24" spans="1:8">
      <c r="A24" t="s">
        <v>14</v>
      </c>
      <c r="B24">
        <v>25750556</v>
      </c>
      <c r="C24">
        <v>51770084</v>
      </c>
      <c r="D24">
        <v>0.49740000000000001</v>
      </c>
      <c r="H24">
        <f t="shared" si="0"/>
        <v>1.5045372050816697</v>
      </c>
    </row>
    <row r="25" spans="1:8">
      <c r="A25" t="s">
        <v>15</v>
      </c>
      <c r="B25">
        <v>626989</v>
      </c>
      <c r="C25">
        <v>1376493</v>
      </c>
      <c r="D25">
        <v>0.45550000000000002</v>
      </c>
      <c r="H25">
        <f t="shared" si="0"/>
        <v>1.3777979431336964</v>
      </c>
    </row>
    <row r="26" spans="1:8">
      <c r="A26" t="s">
        <v>16</v>
      </c>
      <c r="B26">
        <v>24941126</v>
      </c>
      <c r="C26">
        <v>48379994</v>
      </c>
      <c r="D26">
        <v>0.51549999999999996</v>
      </c>
      <c r="E26" t="s">
        <v>34</v>
      </c>
      <c r="H26">
        <f t="shared" si="0"/>
        <v>1.5592861464004839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7"/>
  <sheetViews>
    <sheetView workbookViewId="0">
      <selection activeCell="N12" sqref="N12:N13"/>
    </sheetView>
  </sheetViews>
  <sheetFormatPr defaultRowHeight="14.4"/>
  <cols>
    <col min="1" max="1" width="13.6640625" customWidth="1"/>
    <col min="2" max="2" width="11.5546875" customWidth="1"/>
    <col min="5" max="5" width="31.44140625" customWidth="1"/>
    <col min="6" max="6" width="20.6640625" customWidth="1"/>
    <col min="7" max="7" width="11.33203125" customWidth="1"/>
    <col min="9" max="9" width="15.109375" customWidth="1"/>
  </cols>
  <sheetData>
    <row r="2" spans="1:13">
      <c r="A2" s="4" t="s">
        <v>42</v>
      </c>
      <c r="B2" s="4" t="s">
        <v>9</v>
      </c>
    </row>
    <row r="3" spans="1:13">
      <c r="B3" t="s">
        <v>0</v>
      </c>
      <c r="C3" t="s">
        <v>1</v>
      </c>
      <c r="D3" t="s">
        <v>2</v>
      </c>
      <c r="G3" t="s">
        <v>3</v>
      </c>
      <c r="I3" t="s">
        <v>4</v>
      </c>
    </row>
    <row r="4" spans="1:13">
      <c r="A4" t="s">
        <v>14</v>
      </c>
      <c r="B4">
        <v>531910</v>
      </c>
      <c r="C4">
        <v>1149337</v>
      </c>
      <c r="D4">
        <v>0.46279999999999999</v>
      </c>
      <c r="G4">
        <f>AVERAGE(D4:D6)</f>
        <v>0.37576666666666664</v>
      </c>
      <c r="I4">
        <f>D4/0.375767</f>
        <v>1.2316142716098006</v>
      </c>
    </row>
    <row r="5" spans="1:13">
      <c r="A5" t="s">
        <v>15</v>
      </c>
      <c r="B5">
        <v>537470</v>
      </c>
      <c r="C5">
        <v>1596340</v>
      </c>
      <c r="D5">
        <v>0.3367</v>
      </c>
      <c r="I5">
        <f t="shared" ref="I5:I27" si="0">D5/0.375767</f>
        <v>0.89603397850263589</v>
      </c>
    </row>
    <row r="6" spans="1:13">
      <c r="A6" t="s">
        <v>16</v>
      </c>
      <c r="B6">
        <v>533899</v>
      </c>
      <c r="C6">
        <v>1628844</v>
      </c>
      <c r="D6">
        <v>0.32779999999999998</v>
      </c>
      <c r="E6" s="1" t="s">
        <v>19</v>
      </c>
      <c r="I6">
        <f t="shared" si="0"/>
        <v>0.87234908866398586</v>
      </c>
      <c r="M6" s="18"/>
    </row>
    <row r="7" spans="1:13">
      <c r="A7" t="s">
        <v>14</v>
      </c>
      <c r="B7">
        <v>417347</v>
      </c>
      <c r="C7">
        <v>1256424</v>
      </c>
      <c r="D7">
        <v>0.3322</v>
      </c>
      <c r="I7">
        <f t="shared" si="0"/>
        <v>0.88405847240444202</v>
      </c>
      <c r="M7" s="18"/>
    </row>
    <row r="8" spans="1:13">
      <c r="A8" t="s">
        <v>15</v>
      </c>
      <c r="B8">
        <v>369543</v>
      </c>
      <c r="C8">
        <v>722592</v>
      </c>
      <c r="D8">
        <v>0.51139999999999997</v>
      </c>
      <c r="I8">
        <f t="shared" si="0"/>
        <v>1.3609497374702939</v>
      </c>
      <c r="M8" s="18"/>
    </row>
    <row r="9" spans="1:13">
      <c r="A9" t="s">
        <v>16</v>
      </c>
      <c r="B9">
        <v>301567</v>
      </c>
      <c r="C9">
        <v>573244</v>
      </c>
      <c r="D9">
        <v>0.52610000000000001</v>
      </c>
      <c r="E9" s="1" t="s">
        <v>5</v>
      </c>
      <c r="I9">
        <f t="shared" si="0"/>
        <v>1.4000697240577273</v>
      </c>
      <c r="M9" s="18"/>
    </row>
    <row r="10" spans="1:13">
      <c r="A10" t="s">
        <v>14</v>
      </c>
      <c r="B10">
        <v>561300</v>
      </c>
      <c r="C10">
        <v>1207203</v>
      </c>
      <c r="D10">
        <v>0.46500000000000002</v>
      </c>
      <c r="E10" s="1"/>
      <c r="I10">
        <f t="shared" si="0"/>
        <v>1.2374689634800289</v>
      </c>
      <c r="M10" s="18"/>
    </row>
    <row r="11" spans="1:13">
      <c r="A11" t="s">
        <v>15</v>
      </c>
      <c r="B11">
        <v>532029</v>
      </c>
      <c r="C11">
        <v>1046044</v>
      </c>
      <c r="D11">
        <v>0.50860000000000005</v>
      </c>
      <c r="E11" s="1"/>
      <c r="I11">
        <f t="shared" si="0"/>
        <v>1.3534983114536403</v>
      </c>
      <c r="M11" s="18"/>
    </row>
    <row r="12" spans="1:13">
      <c r="A12" t="s">
        <v>16</v>
      </c>
      <c r="B12">
        <v>544103</v>
      </c>
      <c r="C12">
        <v>1010706</v>
      </c>
      <c r="D12">
        <v>0.5383</v>
      </c>
      <c r="E12" s="1" t="s">
        <v>36</v>
      </c>
      <c r="I12">
        <f t="shared" si="0"/>
        <v>1.4325366517017193</v>
      </c>
      <c r="M12" s="3"/>
    </row>
    <row r="13" spans="1:13">
      <c r="A13" t="s">
        <v>14</v>
      </c>
      <c r="B13">
        <v>557379</v>
      </c>
      <c r="C13">
        <v>1246536</v>
      </c>
      <c r="D13">
        <v>0.4471</v>
      </c>
      <c r="I13">
        <f t="shared" si="0"/>
        <v>1.189833061444991</v>
      </c>
      <c r="M13" s="18"/>
    </row>
    <row r="14" spans="1:13">
      <c r="A14" t="s">
        <v>15</v>
      </c>
      <c r="B14">
        <v>504402</v>
      </c>
      <c r="C14">
        <v>956455</v>
      </c>
      <c r="D14">
        <v>0.52739999999999998</v>
      </c>
      <c r="I14">
        <f t="shared" si="0"/>
        <v>1.4035293147083165</v>
      </c>
      <c r="M14" s="18"/>
    </row>
    <row r="15" spans="1:13">
      <c r="A15" t="s">
        <v>16</v>
      </c>
      <c r="B15">
        <v>543424</v>
      </c>
      <c r="C15">
        <v>1068620</v>
      </c>
      <c r="D15">
        <v>0.50849999999999995</v>
      </c>
      <c r="E15" t="s">
        <v>37</v>
      </c>
      <c r="I15">
        <f t="shared" si="0"/>
        <v>1.3532321890959023</v>
      </c>
      <c r="M15" s="3"/>
    </row>
    <row r="16" spans="1:13">
      <c r="A16" t="s">
        <v>14</v>
      </c>
      <c r="B16">
        <v>570170</v>
      </c>
      <c r="C16">
        <v>1157613</v>
      </c>
      <c r="D16">
        <v>0.49249999999999999</v>
      </c>
      <c r="I16">
        <f t="shared" si="0"/>
        <v>1.3106526118578798</v>
      </c>
      <c r="M16" s="18"/>
    </row>
    <row r="17" spans="1:13">
      <c r="A17" t="s">
        <v>15</v>
      </c>
      <c r="B17">
        <v>566459</v>
      </c>
      <c r="C17">
        <v>1044019</v>
      </c>
      <c r="D17">
        <v>0.54259999999999997</v>
      </c>
      <c r="I17">
        <f t="shared" si="0"/>
        <v>1.4439799130844377</v>
      </c>
      <c r="M17" s="18"/>
    </row>
    <row r="18" spans="1:13">
      <c r="A18" t="s">
        <v>16</v>
      </c>
      <c r="B18">
        <v>499564</v>
      </c>
      <c r="C18">
        <v>1097964</v>
      </c>
      <c r="D18">
        <v>0.45500000000000002</v>
      </c>
      <c r="E18" t="s">
        <v>38</v>
      </c>
      <c r="I18">
        <f t="shared" si="0"/>
        <v>1.2108567277062647</v>
      </c>
      <c r="M18" s="3"/>
    </row>
    <row r="19" spans="1:13">
      <c r="A19" t="s">
        <v>14</v>
      </c>
      <c r="B19">
        <v>465851</v>
      </c>
      <c r="C19">
        <v>871261</v>
      </c>
      <c r="D19">
        <v>0.53469999999999995</v>
      </c>
      <c r="I19">
        <f t="shared" si="0"/>
        <v>1.4229562468231642</v>
      </c>
    </row>
    <row r="20" spans="1:13">
      <c r="A20" t="s">
        <v>15</v>
      </c>
      <c r="B20">
        <v>347514</v>
      </c>
      <c r="C20">
        <v>567458</v>
      </c>
      <c r="D20">
        <v>0.61240000000000006</v>
      </c>
      <c r="I20">
        <f t="shared" si="0"/>
        <v>1.6297333187853111</v>
      </c>
    </row>
    <row r="21" spans="1:13">
      <c r="A21" t="s">
        <v>16</v>
      </c>
      <c r="B21">
        <v>292267</v>
      </c>
      <c r="C21">
        <v>617498</v>
      </c>
      <c r="D21">
        <v>0.4733</v>
      </c>
      <c r="E21" s="1" t="s">
        <v>39</v>
      </c>
      <c r="I21">
        <f t="shared" si="0"/>
        <v>1.259557119172253</v>
      </c>
    </row>
    <row r="22" spans="1:13">
      <c r="A22" t="s">
        <v>14</v>
      </c>
      <c r="B22">
        <v>271289</v>
      </c>
      <c r="C22">
        <v>265440</v>
      </c>
      <c r="D22">
        <v>1.022</v>
      </c>
      <c r="I22">
        <f t="shared" si="0"/>
        <v>2.719770496078687</v>
      </c>
    </row>
    <row r="23" spans="1:13">
      <c r="A23" t="s">
        <v>15</v>
      </c>
      <c r="B23">
        <v>206130</v>
      </c>
      <c r="C23" s="1">
        <v>193305</v>
      </c>
      <c r="D23">
        <v>1.0663</v>
      </c>
      <c r="I23">
        <f t="shared" si="0"/>
        <v>2.8376627005564616</v>
      </c>
    </row>
    <row r="24" spans="1:13">
      <c r="A24" t="s">
        <v>16</v>
      </c>
      <c r="B24">
        <v>250976</v>
      </c>
      <c r="C24">
        <v>262452</v>
      </c>
      <c r="D24">
        <v>0.95620000000000005</v>
      </c>
      <c r="E24" t="s">
        <v>40</v>
      </c>
      <c r="I24">
        <f t="shared" si="0"/>
        <v>2.5446619846873197</v>
      </c>
    </row>
    <row r="25" spans="1:13">
      <c r="A25" t="s">
        <v>14</v>
      </c>
      <c r="B25">
        <v>425464</v>
      </c>
      <c r="C25">
        <v>450791</v>
      </c>
      <c r="D25">
        <v>0.94379999999999997</v>
      </c>
      <c r="I25">
        <f t="shared" si="0"/>
        <v>2.5116628123278519</v>
      </c>
    </row>
    <row r="26" spans="1:13">
      <c r="A26" t="s">
        <v>15</v>
      </c>
      <c r="B26">
        <v>309268</v>
      </c>
      <c r="C26">
        <v>377222</v>
      </c>
      <c r="D26">
        <v>0.81989999999999996</v>
      </c>
      <c r="I26">
        <f t="shared" si="0"/>
        <v>2.181937211090915</v>
      </c>
    </row>
    <row r="27" spans="1:13">
      <c r="A27" t="s">
        <v>16</v>
      </c>
      <c r="B27">
        <v>1182576</v>
      </c>
      <c r="C27">
        <v>974936</v>
      </c>
      <c r="D27">
        <v>1.2129000000000001</v>
      </c>
      <c r="E27" t="s">
        <v>41</v>
      </c>
      <c r="I27">
        <f t="shared" si="0"/>
        <v>3.2277980769998429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9"/>
  <sheetViews>
    <sheetView workbookViewId="0">
      <selection activeCell="L17" sqref="L17"/>
    </sheetView>
  </sheetViews>
  <sheetFormatPr defaultRowHeight="14.4"/>
  <cols>
    <col min="2" max="2" width="8.88671875" customWidth="1"/>
    <col min="3" max="3" width="15.5546875" customWidth="1"/>
    <col min="4" max="4" width="19.5546875" customWidth="1"/>
    <col min="5" max="5" width="18.88671875" customWidth="1"/>
    <col min="6" max="6" width="19.44140625" customWidth="1"/>
    <col min="7" max="7" width="20.21875" customWidth="1"/>
    <col min="8" max="8" width="19.88671875" customWidth="1"/>
    <col min="9" max="9" width="24.21875" customWidth="1"/>
  </cols>
  <sheetData>
    <row r="2" spans="1:11" ht="16.8" thickBot="1">
      <c r="A2" s="5" t="s">
        <v>10</v>
      </c>
      <c r="B2" s="6"/>
      <c r="C2" s="6"/>
      <c r="D2" s="6"/>
      <c r="E2" s="6"/>
      <c r="F2" s="6"/>
      <c r="G2" s="6"/>
      <c r="H2" s="6"/>
      <c r="I2" s="6"/>
    </row>
    <row r="3" spans="1:11" ht="16.2" thickBot="1">
      <c r="A3" s="7" t="s">
        <v>11</v>
      </c>
      <c r="B3" s="8"/>
      <c r="C3" s="9" t="s">
        <v>12</v>
      </c>
      <c r="D3" s="10" t="s">
        <v>19</v>
      </c>
      <c r="E3" s="10" t="s">
        <v>43</v>
      </c>
      <c r="F3" s="11" t="s">
        <v>44</v>
      </c>
      <c r="G3" s="6" t="s">
        <v>45</v>
      </c>
      <c r="H3" s="10" t="s">
        <v>46</v>
      </c>
      <c r="I3" s="11" t="s">
        <v>47</v>
      </c>
    </row>
    <row r="4" spans="1:11" ht="16.2" thickBot="1">
      <c r="A4" s="29" t="s">
        <v>48</v>
      </c>
      <c r="B4" s="34" t="s">
        <v>49</v>
      </c>
      <c r="C4" s="15">
        <v>1</v>
      </c>
      <c r="D4" s="12">
        <v>2000</v>
      </c>
      <c r="E4" s="12">
        <v>1000</v>
      </c>
      <c r="F4" s="12">
        <v>1000</v>
      </c>
      <c r="G4" s="12">
        <v>1000</v>
      </c>
      <c r="H4" s="12">
        <v>1000</v>
      </c>
      <c r="I4" s="12">
        <v>5000</v>
      </c>
      <c r="K4" t="s">
        <v>18</v>
      </c>
    </row>
    <row r="5" spans="1:11" ht="16.2" thickBot="1">
      <c r="A5" s="29"/>
      <c r="B5" s="35"/>
      <c r="C5" s="16">
        <v>2</v>
      </c>
      <c r="D5" s="12">
        <v>1000</v>
      </c>
      <c r="E5" s="12">
        <v>2000</v>
      </c>
      <c r="F5" s="12">
        <v>1000</v>
      </c>
      <c r="G5" s="12">
        <v>1000</v>
      </c>
      <c r="H5" s="12">
        <v>1000</v>
      </c>
      <c r="I5" s="12">
        <v>1000</v>
      </c>
    </row>
    <row r="6" spans="1:11" ht="16.2" thickBot="1">
      <c r="A6" s="29"/>
      <c r="B6" s="36"/>
      <c r="C6" s="17">
        <v>3</v>
      </c>
      <c r="D6" s="12">
        <v>1000</v>
      </c>
      <c r="E6" s="12">
        <v>3000</v>
      </c>
      <c r="F6" s="12">
        <v>3000</v>
      </c>
      <c r="G6" s="12">
        <v>2000</v>
      </c>
      <c r="H6" s="12">
        <v>2000</v>
      </c>
      <c r="I6" s="12">
        <v>1000</v>
      </c>
    </row>
    <row r="7" spans="1:11" ht="16.2" thickBot="1">
      <c r="A7" s="29"/>
      <c r="B7" s="34" t="s">
        <v>50</v>
      </c>
      <c r="C7" s="15">
        <v>1</v>
      </c>
      <c r="D7" s="12">
        <f>LOG10(D4)</f>
        <v>3.3010299956639813</v>
      </c>
      <c r="E7" s="12">
        <f t="shared" ref="E7:F7" si="0">LOG10(E4)</f>
        <v>3</v>
      </c>
      <c r="F7" s="12">
        <f t="shared" si="0"/>
        <v>3</v>
      </c>
      <c r="G7" s="12">
        <f>LOG10(G4)</f>
        <v>3</v>
      </c>
      <c r="H7" s="12">
        <f>LOG10(H4)</f>
        <v>3</v>
      </c>
      <c r="I7" s="12">
        <f>LOG10(I4)</f>
        <v>3.6989700043360187</v>
      </c>
    </row>
    <row r="8" spans="1:11" ht="16.2" thickBot="1">
      <c r="A8" s="29"/>
      <c r="B8" s="35"/>
      <c r="C8" s="16">
        <v>2</v>
      </c>
      <c r="D8" s="12">
        <f t="shared" ref="D8:F9" si="1">LOG10(D5)</f>
        <v>3</v>
      </c>
      <c r="E8" s="12">
        <f t="shared" si="1"/>
        <v>3.3010299956639813</v>
      </c>
      <c r="F8" s="12">
        <f t="shared" si="1"/>
        <v>3</v>
      </c>
      <c r="G8" s="12">
        <v>3</v>
      </c>
      <c r="H8" s="12">
        <f t="shared" ref="H8:I9" si="2">LOG10(H5)</f>
        <v>3</v>
      </c>
      <c r="I8" s="12">
        <f t="shared" si="2"/>
        <v>3</v>
      </c>
    </row>
    <row r="9" spans="1:11" ht="16.2" thickBot="1">
      <c r="A9" s="30"/>
      <c r="B9" s="36"/>
      <c r="C9" s="17">
        <v>3</v>
      </c>
      <c r="D9" s="12">
        <f t="shared" si="1"/>
        <v>3</v>
      </c>
      <c r="E9" s="12">
        <f t="shared" si="1"/>
        <v>3.4771212547196626</v>
      </c>
      <c r="F9" s="12">
        <v>3</v>
      </c>
      <c r="G9" s="12">
        <f>LOG10(G6)</f>
        <v>3.3010299956639813</v>
      </c>
      <c r="H9" s="12">
        <f t="shared" si="2"/>
        <v>3.3010299956639813</v>
      </c>
      <c r="I9" s="12">
        <f t="shared" si="2"/>
        <v>3</v>
      </c>
    </row>
    <row r="10" spans="1:11" ht="15.6">
      <c r="A10" s="29" t="s">
        <v>51</v>
      </c>
      <c r="B10" s="31" t="s">
        <v>49</v>
      </c>
      <c r="C10" s="15">
        <v>1</v>
      </c>
      <c r="D10" s="13">
        <v>50</v>
      </c>
      <c r="E10" s="13">
        <v>30</v>
      </c>
      <c r="F10" s="13">
        <v>50</v>
      </c>
      <c r="G10" s="13">
        <v>40</v>
      </c>
      <c r="H10" s="13">
        <v>20</v>
      </c>
      <c r="I10" s="13">
        <v>20</v>
      </c>
    </row>
    <row r="11" spans="1:11" ht="15.6">
      <c r="A11" s="29"/>
      <c r="B11" s="32"/>
      <c r="C11" s="16">
        <v>2</v>
      </c>
      <c r="D11" s="13">
        <v>50</v>
      </c>
      <c r="E11" s="13">
        <v>20</v>
      </c>
      <c r="F11" s="13">
        <v>20</v>
      </c>
      <c r="G11" s="13">
        <v>20</v>
      </c>
      <c r="H11" s="13">
        <v>30</v>
      </c>
      <c r="I11" s="13">
        <v>40</v>
      </c>
    </row>
    <row r="12" spans="1:11" ht="16.2" thickBot="1">
      <c r="A12" s="29"/>
      <c r="B12" s="33"/>
      <c r="C12" s="17">
        <v>3</v>
      </c>
      <c r="D12" s="13">
        <v>30</v>
      </c>
      <c r="E12" s="13">
        <v>40</v>
      </c>
      <c r="F12" s="13">
        <v>20</v>
      </c>
      <c r="G12" s="13">
        <v>40</v>
      </c>
      <c r="H12" s="13">
        <v>10</v>
      </c>
      <c r="I12" s="13">
        <v>20</v>
      </c>
    </row>
    <row r="13" spans="1:11" ht="16.2" thickBot="1">
      <c r="A13" s="29"/>
      <c r="B13" s="34" t="s">
        <v>50</v>
      </c>
      <c r="C13" s="15">
        <v>1</v>
      </c>
      <c r="D13" s="12">
        <f>LOG10(D10)</f>
        <v>1.6989700043360187</v>
      </c>
      <c r="E13" s="12">
        <f t="shared" ref="E13:F13" si="3">LOG10(E10)</f>
        <v>1.4771212547196624</v>
      </c>
      <c r="F13" s="12">
        <f t="shared" si="3"/>
        <v>1.6989700043360187</v>
      </c>
      <c r="G13" s="12">
        <f>LOG10(G10)</f>
        <v>1.6020599913279623</v>
      </c>
      <c r="H13" s="12">
        <f>LOG10(H10)</f>
        <v>1.3010299956639813</v>
      </c>
      <c r="I13" s="12">
        <f>LOG10(I10)</f>
        <v>1.3010299956639813</v>
      </c>
    </row>
    <row r="14" spans="1:11" ht="16.2" thickBot="1">
      <c r="A14" s="29"/>
      <c r="B14" s="35"/>
      <c r="C14" s="16">
        <v>2</v>
      </c>
      <c r="D14" s="12">
        <f t="shared" ref="D14:F15" si="4">LOG10(D11)</f>
        <v>1.6989700043360187</v>
      </c>
      <c r="E14" s="12">
        <f t="shared" si="4"/>
        <v>1.3010299956639813</v>
      </c>
      <c r="F14" s="12">
        <f t="shared" si="4"/>
        <v>1.3010299956639813</v>
      </c>
      <c r="G14" s="12">
        <f>LOG10(G11)</f>
        <v>1.3010299956639813</v>
      </c>
      <c r="H14" s="12">
        <f t="shared" ref="H14:I15" si="5">LOG10(H11)</f>
        <v>1.4771212547196624</v>
      </c>
      <c r="I14" s="12">
        <f t="shared" si="5"/>
        <v>1.6020599913279623</v>
      </c>
    </row>
    <row r="15" spans="1:11" ht="16.2" thickBot="1">
      <c r="A15" s="30"/>
      <c r="B15" s="36"/>
      <c r="C15" s="17">
        <v>3</v>
      </c>
      <c r="D15" s="12">
        <f t="shared" si="4"/>
        <v>1.4771212547196624</v>
      </c>
      <c r="E15" s="12">
        <f t="shared" si="4"/>
        <v>1.6020599913279623</v>
      </c>
      <c r="F15" s="12">
        <f t="shared" si="4"/>
        <v>1.3010299956639813</v>
      </c>
      <c r="G15" s="12">
        <v>1.3010299956639813</v>
      </c>
      <c r="H15" s="12">
        <f t="shared" si="5"/>
        <v>1</v>
      </c>
      <c r="I15" s="12">
        <f t="shared" si="5"/>
        <v>1.3010299956639813</v>
      </c>
    </row>
    <row r="16" spans="1:11" ht="15.6">
      <c r="A16" s="29" t="s">
        <v>13</v>
      </c>
      <c r="B16" s="31" t="s">
        <v>49</v>
      </c>
      <c r="C16" s="15">
        <v>1</v>
      </c>
      <c r="D16" s="13">
        <v>2400</v>
      </c>
      <c r="E16" s="13">
        <v>2100</v>
      </c>
      <c r="F16" s="13">
        <v>1800</v>
      </c>
      <c r="G16" s="13">
        <v>2500</v>
      </c>
      <c r="H16" s="13">
        <v>30000</v>
      </c>
      <c r="I16" s="13">
        <v>10000</v>
      </c>
    </row>
    <row r="17" spans="1:9" ht="15.6">
      <c r="A17" s="29"/>
      <c r="B17" s="32"/>
      <c r="C17" s="16">
        <v>2</v>
      </c>
      <c r="D17" s="13">
        <v>1200</v>
      </c>
      <c r="E17" s="13">
        <v>1500</v>
      </c>
      <c r="F17" s="13">
        <v>1700</v>
      </c>
      <c r="G17" s="13">
        <v>2100</v>
      </c>
      <c r="H17" s="13">
        <v>20000</v>
      </c>
      <c r="I17" s="13">
        <v>40000</v>
      </c>
    </row>
    <row r="18" spans="1:9" ht="16.2" thickBot="1">
      <c r="A18" s="29"/>
      <c r="B18" s="33"/>
      <c r="C18" s="17">
        <v>3</v>
      </c>
      <c r="D18" s="13">
        <v>2200</v>
      </c>
      <c r="E18" s="13">
        <v>1300</v>
      </c>
      <c r="F18" s="13">
        <v>1600</v>
      </c>
      <c r="G18" s="13">
        <v>1900</v>
      </c>
      <c r="H18" s="13">
        <v>10000</v>
      </c>
      <c r="I18" s="13">
        <v>50000</v>
      </c>
    </row>
    <row r="19" spans="1:9" ht="16.2" thickBot="1">
      <c r="A19" s="29"/>
      <c r="B19" s="34" t="s">
        <v>50</v>
      </c>
      <c r="C19" s="15">
        <v>1</v>
      </c>
      <c r="D19" s="12">
        <f>LOG10(D16)</f>
        <v>3.3802112417116059</v>
      </c>
      <c r="E19" s="12">
        <f t="shared" ref="E19" si="6">LOG10(E16)</f>
        <v>3.3222192947339191</v>
      </c>
      <c r="F19" s="12">
        <f>LOG10(F16)</f>
        <v>3.255272505103306</v>
      </c>
      <c r="G19" s="12">
        <f>LOG10(G16)</f>
        <v>3.3979400086720375</v>
      </c>
      <c r="H19" s="12">
        <f>LOG10(H16)</f>
        <v>4.4771212547196626</v>
      </c>
      <c r="I19" s="12">
        <f>LOG10(I16)</f>
        <v>4</v>
      </c>
    </row>
    <row r="20" spans="1:9" ht="16.2" thickBot="1">
      <c r="A20" s="29"/>
      <c r="B20" s="35"/>
      <c r="C20" s="16">
        <v>2</v>
      </c>
      <c r="D20" s="12">
        <f t="shared" ref="D20:F21" si="7">LOG10(D17)</f>
        <v>3.0791812460476247</v>
      </c>
      <c r="E20" s="12">
        <f t="shared" si="7"/>
        <v>3.1760912590556813</v>
      </c>
      <c r="F20" s="12">
        <f t="shared" si="7"/>
        <v>3.2304489213782741</v>
      </c>
      <c r="G20" s="12">
        <f>LOG10(G17)</f>
        <v>3.3222192947339191</v>
      </c>
      <c r="H20" s="12">
        <f t="shared" ref="H20:I21" si="8">LOG10(H17)</f>
        <v>4.3010299956639813</v>
      </c>
      <c r="I20" s="12">
        <f t="shared" si="8"/>
        <v>4.6020599913279625</v>
      </c>
    </row>
    <row r="21" spans="1:9" ht="16.2" thickBot="1">
      <c r="A21" s="30"/>
      <c r="B21" s="36"/>
      <c r="C21" s="17">
        <v>3</v>
      </c>
      <c r="D21" s="12">
        <f t="shared" si="7"/>
        <v>3.3424226808222062</v>
      </c>
      <c r="E21" s="12">
        <f t="shared" si="7"/>
        <v>3.1139433523068369</v>
      </c>
      <c r="F21" s="12">
        <f t="shared" si="7"/>
        <v>3.2041199826559246</v>
      </c>
      <c r="G21" s="12">
        <f>LOG10(G18)</f>
        <v>3.2787536009528289</v>
      </c>
      <c r="H21" s="12">
        <f t="shared" si="8"/>
        <v>4</v>
      </c>
      <c r="I21" s="12">
        <f t="shared" si="8"/>
        <v>4.6989700043360187</v>
      </c>
    </row>
    <row r="22" spans="1:9" ht="15.6">
      <c r="A22" s="29" t="s">
        <v>52</v>
      </c>
      <c r="B22" s="31" t="s">
        <v>49</v>
      </c>
      <c r="C22" s="15">
        <v>1</v>
      </c>
      <c r="D22" s="13">
        <v>6000000</v>
      </c>
      <c r="E22" s="13">
        <v>10000000</v>
      </c>
      <c r="F22" s="13">
        <v>15000000</v>
      </c>
      <c r="G22" s="13">
        <v>12000000</v>
      </c>
      <c r="H22" s="13">
        <v>160000000</v>
      </c>
      <c r="I22" s="13">
        <v>120000000</v>
      </c>
    </row>
    <row r="23" spans="1:9" ht="15.6">
      <c r="A23" s="29"/>
      <c r="B23" s="32"/>
      <c r="C23" s="16">
        <v>2</v>
      </c>
      <c r="D23" s="13">
        <v>7000000</v>
      </c>
      <c r="E23" s="13">
        <v>18000000</v>
      </c>
      <c r="F23" s="13">
        <v>18000000</v>
      </c>
      <c r="G23" s="13">
        <v>15000000</v>
      </c>
      <c r="H23" s="13">
        <v>110000000</v>
      </c>
      <c r="I23" s="13">
        <v>100000000</v>
      </c>
    </row>
    <row r="24" spans="1:9" ht="16.2" thickBot="1">
      <c r="A24" s="29"/>
      <c r="B24" s="33"/>
      <c r="C24" s="17">
        <v>3</v>
      </c>
      <c r="D24" s="13">
        <v>12000000</v>
      </c>
      <c r="E24" s="13">
        <v>13000000</v>
      </c>
      <c r="F24" s="13">
        <v>8000000</v>
      </c>
      <c r="G24" s="13">
        <v>17000000</v>
      </c>
      <c r="H24" s="13">
        <v>100000000</v>
      </c>
      <c r="I24" s="13">
        <v>80000000</v>
      </c>
    </row>
    <row r="25" spans="1:9" ht="16.2" thickBot="1">
      <c r="A25" s="29"/>
      <c r="B25" s="34" t="s">
        <v>50</v>
      </c>
      <c r="C25" s="15">
        <v>1</v>
      </c>
      <c r="D25" s="12">
        <f>LOG10(D22)</f>
        <v>6.7781512503836439</v>
      </c>
      <c r="E25" s="12">
        <f t="shared" ref="E25" si="9">LOG10(E22)</f>
        <v>7</v>
      </c>
      <c r="F25" s="12">
        <f>LOG10(F22)</f>
        <v>7.1760912590556813</v>
      </c>
      <c r="G25" s="12">
        <f>LOG10(G22)</f>
        <v>7.0791812460476251</v>
      </c>
      <c r="H25" s="12">
        <f>LOG10(H22)</f>
        <v>8.204119982655925</v>
      </c>
      <c r="I25" s="12">
        <f>LOG10(I22)</f>
        <v>8.0791812460476251</v>
      </c>
    </row>
    <row r="26" spans="1:9" ht="16.2" thickBot="1">
      <c r="A26" s="29"/>
      <c r="B26" s="35"/>
      <c r="C26" s="16">
        <v>2</v>
      </c>
      <c r="D26" s="12">
        <f t="shared" ref="D26:F27" si="10">LOG10(D23)</f>
        <v>6.8450980400142569</v>
      </c>
      <c r="E26" s="12">
        <f t="shared" si="10"/>
        <v>7.2552725051033065</v>
      </c>
      <c r="F26" s="12">
        <f t="shared" si="10"/>
        <v>7.2552725051033065</v>
      </c>
      <c r="G26" s="12">
        <f>LOG10(G23)</f>
        <v>7.1760912590556813</v>
      </c>
      <c r="H26" s="12">
        <f t="shared" ref="H26:H27" si="11">LOG10(H23)</f>
        <v>8.0413926851582254</v>
      </c>
      <c r="I26" s="12">
        <f>LOG10(I23)</f>
        <v>8</v>
      </c>
    </row>
    <row r="27" spans="1:9" ht="16.2" thickBot="1">
      <c r="A27" s="30"/>
      <c r="B27" s="36"/>
      <c r="C27" s="17">
        <v>3</v>
      </c>
      <c r="D27" s="12">
        <f t="shared" si="10"/>
        <v>7.0791812460476251</v>
      </c>
      <c r="E27" s="12">
        <f t="shared" si="10"/>
        <v>7.1139433523068369</v>
      </c>
      <c r="F27" s="12">
        <f t="shared" si="10"/>
        <v>6.9030899869919438</v>
      </c>
      <c r="G27" s="12">
        <f>LOG10(G24)</f>
        <v>7.2304489213782741</v>
      </c>
      <c r="H27" s="12">
        <f t="shared" si="11"/>
        <v>8</v>
      </c>
      <c r="I27" s="12">
        <f>LOG10(I24)</f>
        <v>7.9030899869919438</v>
      </c>
    </row>
    <row r="28" spans="1:9" ht="15.6">
      <c r="A28" s="29" t="s">
        <v>53</v>
      </c>
      <c r="B28" s="31" t="s">
        <v>49</v>
      </c>
      <c r="C28" s="15">
        <v>1</v>
      </c>
      <c r="D28" s="13">
        <v>340000000</v>
      </c>
      <c r="E28" s="13">
        <v>280000000</v>
      </c>
      <c r="F28" s="13">
        <v>270000000</v>
      </c>
      <c r="G28" s="13">
        <v>160000000</v>
      </c>
      <c r="H28" s="13">
        <v>1900000000</v>
      </c>
      <c r="I28" s="13">
        <v>2100000000</v>
      </c>
    </row>
    <row r="29" spans="1:9" ht="15.6">
      <c r="A29" s="29"/>
      <c r="B29" s="32"/>
      <c r="C29" s="16">
        <v>2</v>
      </c>
      <c r="D29" s="13">
        <v>390000000</v>
      </c>
      <c r="E29" s="13">
        <v>220000000</v>
      </c>
      <c r="F29" s="13">
        <v>250000000</v>
      </c>
      <c r="G29" s="13">
        <v>200000000</v>
      </c>
      <c r="H29" s="13">
        <v>1800000000</v>
      </c>
      <c r="I29" s="13">
        <v>1800000000</v>
      </c>
    </row>
    <row r="30" spans="1:9" ht="16.2" thickBot="1">
      <c r="A30" s="29"/>
      <c r="B30" s="33"/>
      <c r="C30" s="17">
        <v>3</v>
      </c>
      <c r="D30" s="13">
        <v>320000000</v>
      </c>
      <c r="E30" s="13">
        <v>220000000</v>
      </c>
      <c r="F30" s="13">
        <v>210000000</v>
      </c>
      <c r="G30" s="13">
        <v>190000000</v>
      </c>
      <c r="H30" s="13">
        <v>1700000000</v>
      </c>
      <c r="I30" s="13">
        <v>2300000000</v>
      </c>
    </row>
    <row r="31" spans="1:9" ht="16.2" thickBot="1">
      <c r="A31" s="29"/>
      <c r="B31" s="34" t="s">
        <v>50</v>
      </c>
      <c r="C31" s="15">
        <v>1</v>
      </c>
      <c r="D31" s="12">
        <f t="shared" ref="D31:I33" si="12">LOG10(D28)</f>
        <v>8.5314789170422554</v>
      </c>
      <c r="E31" s="12">
        <f t="shared" si="12"/>
        <v>8.4471580313422194</v>
      </c>
      <c r="F31" s="12">
        <f t="shared" si="12"/>
        <v>8.4313637641589878</v>
      </c>
      <c r="G31" s="12">
        <f t="shared" si="12"/>
        <v>8.204119982655925</v>
      </c>
      <c r="H31" s="12">
        <f t="shared" si="12"/>
        <v>9.2787536009528289</v>
      </c>
      <c r="I31" s="12">
        <f t="shared" si="12"/>
        <v>9.3222192947339195</v>
      </c>
    </row>
    <row r="32" spans="1:9" ht="16.2" thickBot="1">
      <c r="A32" s="29"/>
      <c r="B32" s="35"/>
      <c r="C32" s="16">
        <v>2</v>
      </c>
      <c r="D32" s="12">
        <f t="shared" si="12"/>
        <v>8.5910646070264995</v>
      </c>
      <c r="E32" s="12">
        <f t="shared" si="12"/>
        <v>8.3424226808222066</v>
      </c>
      <c r="F32" s="12">
        <f t="shared" si="12"/>
        <v>8.3979400086720375</v>
      </c>
      <c r="G32" s="12">
        <f>LOG10(G29)</f>
        <v>8.3010299956639813</v>
      </c>
      <c r="H32" s="12">
        <f t="shared" si="12"/>
        <v>9.2552725051033065</v>
      </c>
      <c r="I32" s="12">
        <f t="shared" si="12"/>
        <v>9.2552725051033065</v>
      </c>
    </row>
    <row r="33" spans="1:9" ht="16.2" thickBot="1">
      <c r="A33" s="30"/>
      <c r="B33" s="36"/>
      <c r="C33" s="17">
        <v>3</v>
      </c>
      <c r="D33" s="12">
        <f>LOG10(D30)</f>
        <v>8.5051499783199063</v>
      </c>
      <c r="E33" s="12">
        <f t="shared" si="12"/>
        <v>8.3424226808222066</v>
      </c>
      <c r="F33" s="12">
        <f t="shared" si="12"/>
        <v>8.3222192947339195</v>
      </c>
      <c r="G33" s="12">
        <f>LOG10(G30)</f>
        <v>8.2787536009528289</v>
      </c>
      <c r="H33" s="12">
        <f t="shared" si="12"/>
        <v>9.2304489213782741</v>
      </c>
      <c r="I33" s="12">
        <f t="shared" si="12"/>
        <v>9.3617278360175931</v>
      </c>
    </row>
    <row r="34" spans="1:9" ht="15.6">
      <c r="A34" s="29" t="s">
        <v>54</v>
      </c>
      <c r="B34" s="31" t="s">
        <v>49</v>
      </c>
      <c r="C34" s="15">
        <v>1</v>
      </c>
      <c r="D34" s="13">
        <v>240000000</v>
      </c>
      <c r="E34" s="13">
        <v>100000000</v>
      </c>
      <c r="F34" s="13">
        <v>140000000</v>
      </c>
      <c r="G34" s="13">
        <v>110000000</v>
      </c>
      <c r="H34" s="13">
        <v>2200000000</v>
      </c>
      <c r="I34" s="13">
        <v>1300000000</v>
      </c>
    </row>
    <row r="35" spans="1:9" ht="15.6">
      <c r="A35" s="29"/>
      <c r="B35" s="32"/>
      <c r="C35" s="16">
        <v>2</v>
      </c>
      <c r="D35" s="13">
        <v>110000000</v>
      </c>
      <c r="E35" s="13">
        <v>130000000</v>
      </c>
      <c r="F35" s="13">
        <v>180000000</v>
      </c>
      <c r="G35" s="13">
        <v>100000000</v>
      </c>
      <c r="H35" s="13">
        <v>1400000000</v>
      </c>
      <c r="I35" s="13">
        <v>1200000000</v>
      </c>
    </row>
    <row r="36" spans="1:9" ht="16.2" thickBot="1">
      <c r="A36" s="29"/>
      <c r="B36" s="33"/>
      <c r="C36" s="17">
        <v>3</v>
      </c>
      <c r="D36" s="13">
        <v>210000000</v>
      </c>
      <c r="E36" s="13">
        <v>120000000</v>
      </c>
      <c r="F36" s="13">
        <v>90000000</v>
      </c>
      <c r="G36" s="13">
        <v>120000000</v>
      </c>
      <c r="H36" s="13">
        <v>1300000000</v>
      </c>
      <c r="I36" s="13">
        <v>1500000000</v>
      </c>
    </row>
    <row r="37" spans="1:9" ht="16.2" thickBot="1">
      <c r="A37" s="29"/>
      <c r="B37" s="34" t="s">
        <v>50</v>
      </c>
      <c r="C37" s="15">
        <v>1</v>
      </c>
      <c r="D37" s="12">
        <f>LOG10(D34)</f>
        <v>8.3802112417116064</v>
      </c>
      <c r="E37" s="12">
        <f t="shared" ref="E37" si="13">LOG10(E34)</f>
        <v>8</v>
      </c>
      <c r="F37" s="12">
        <f>LOG10(F34)</f>
        <v>8.1461280356782382</v>
      </c>
      <c r="G37" s="12">
        <f>LOG10(G34)</f>
        <v>8.0413926851582254</v>
      </c>
      <c r="H37" s="12">
        <f>LOG10(H34)</f>
        <v>9.3424226808222066</v>
      </c>
      <c r="I37" s="12">
        <f>LOG10(I34)</f>
        <v>9.1139433523068369</v>
      </c>
    </row>
    <row r="38" spans="1:9" ht="16.2" thickBot="1">
      <c r="A38" s="29"/>
      <c r="B38" s="35"/>
      <c r="C38" s="16">
        <v>2</v>
      </c>
      <c r="D38" s="12">
        <f>LOG10(D35)</f>
        <v>8.0413926851582254</v>
      </c>
      <c r="E38" s="12">
        <f>LOG10(E35)</f>
        <v>8.1139433523068369</v>
      </c>
      <c r="F38" s="12">
        <f t="shared" ref="F38:F39" si="14">LOG10(F35)</f>
        <v>8.2552725051033065</v>
      </c>
      <c r="G38" s="12">
        <f>LOG10(G35)</f>
        <v>8</v>
      </c>
      <c r="H38" s="12">
        <f t="shared" ref="H38:I39" si="15">LOG10(H35)</f>
        <v>9.1461280356782382</v>
      </c>
      <c r="I38" s="12">
        <f t="shared" si="15"/>
        <v>9.0791812460476251</v>
      </c>
    </row>
    <row r="39" spans="1:9" ht="16.2" thickBot="1">
      <c r="A39" s="30"/>
      <c r="B39" s="36"/>
      <c r="C39" s="17">
        <v>3</v>
      </c>
      <c r="D39" s="12">
        <f t="shared" ref="D39:E39" si="16">LOG10(D36)</f>
        <v>8.3222192947339195</v>
      </c>
      <c r="E39" s="12">
        <f t="shared" si="16"/>
        <v>8.0791812460476251</v>
      </c>
      <c r="F39" s="12">
        <f t="shared" si="14"/>
        <v>7.9542425094393252</v>
      </c>
      <c r="G39" s="12">
        <f>LOG10(G36)</f>
        <v>8.0791812460476251</v>
      </c>
      <c r="H39" s="12">
        <f t="shared" si="15"/>
        <v>9.1139433523068369</v>
      </c>
      <c r="I39" s="12">
        <f t="shared" si="15"/>
        <v>9.1760912590556813</v>
      </c>
    </row>
  </sheetData>
  <mergeCells count="18">
    <mergeCell ref="A4:A9"/>
    <mergeCell ref="B4:B6"/>
    <mergeCell ref="B7:B9"/>
    <mergeCell ref="A10:A15"/>
    <mergeCell ref="B10:B12"/>
    <mergeCell ref="B13:B15"/>
    <mergeCell ref="A16:A21"/>
    <mergeCell ref="B16:B18"/>
    <mergeCell ref="B19:B21"/>
    <mergeCell ref="A22:A27"/>
    <mergeCell ref="B22:B24"/>
    <mergeCell ref="B25:B27"/>
    <mergeCell ref="A28:A33"/>
    <mergeCell ref="B28:B30"/>
    <mergeCell ref="B31:B33"/>
    <mergeCell ref="A34:A39"/>
    <mergeCell ref="B34:B36"/>
    <mergeCell ref="B37:B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0" sqref="K20"/>
    </sheetView>
  </sheetViews>
  <sheetFormatPr defaultRowHeight="14.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63"/>
  <sheetViews>
    <sheetView workbookViewId="0">
      <pane ySplit="4" topLeftCell="A5" activePane="bottomLeft" state="frozen"/>
      <selection pane="bottomLeft" activeCell="E19" sqref="E19"/>
    </sheetView>
  </sheetViews>
  <sheetFormatPr defaultColWidth="9.109375" defaultRowHeight="14.4"/>
  <cols>
    <col min="1" max="1" width="28.5546875" customWidth="1"/>
    <col min="23" max="23" width="9.109375" style="22"/>
  </cols>
  <sheetData>
    <row r="1" spans="1:25">
      <c r="A1" s="4" t="s">
        <v>79</v>
      </c>
    </row>
    <row r="2" spans="1:25">
      <c r="A2" t="s">
        <v>78</v>
      </c>
    </row>
    <row r="4" spans="1:25">
      <c r="A4" t="s">
        <v>77</v>
      </c>
      <c r="B4" t="s">
        <v>76</v>
      </c>
      <c r="C4" t="s">
        <v>75</v>
      </c>
      <c r="D4" t="s">
        <v>74</v>
      </c>
      <c r="E4" t="s">
        <v>73</v>
      </c>
      <c r="F4" t="s">
        <v>72</v>
      </c>
      <c r="G4" t="s">
        <v>71</v>
      </c>
      <c r="H4" t="s">
        <v>70</v>
      </c>
      <c r="I4" t="s">
        <v>69</v>
      </c>
      <c r="J4" t="s">
        <v>68</v>
      </c>
      <c r="K4" t="s">
        <v>67</v>
      </c>
      <c r="L4" t="s">
        <v>66</v>
      </c>
      <c r="M4" t="s">
        <v>65</v>
      </c>
      <c r="N4" t="s">
        <v>64</v>
      </c>
      <c r="O4" t="s">
        <v>63</v>
      </c>
      <c r="P4" t="s">
        <v>62</v>
      </c>
      <c r="Q4" t="s">
        <v>61</v>
      </c>
      <c r="R4" t="s">
        <v>60</v>
      </c>
      <c r="S4" t="s">
        <v>59</v>
      </c>
      <c r="T4" t="s">
        <v>58</v>
      </c>
      <c r="U4" t="s">
        <v>57</v>
      </c>
      <c r="V4" t="s">
        <v>56</v>
      </c>
      <c r="W4" s="28" t="s">
        <v>55</v>
      </c>
    </row>
    <row r="6" spans="1:2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17449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177</v>
      </c>
      <c r="W6" s="22">
        <f t="shared" ref="W6:W69" si="0">SUM(B6:U6)</f>
        <v>17449</v>
      </c>
      <c r="X6" t="str">
        <f t="shared" ref="X6:X69" si="1">INDEX(($B$4:$U$4),MATCH(LARGE(B6:U6,1),B6:U6,0))</f>
        <v>M</v>
      </c>
      <c r="Y6" s="23">
        <f t="shared" ref="Y6:Y69" si="2">(MAX(B6:U6))/W6</f>
        <v>1</v>
      </c>
    </row>
    <row r="7" spans="1:25">
      <c r="A7">
        <v>2</v>
      </c>
      <c r="B7">
        <v>0</v>
      </c>
      <c r="C7">
        <v>0</v>
      </c>
      <c r="D7">
        <v>17459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170</v>
      </c>
      <c r="W7" s="22">
        <f t="shared" si="0"/>
        <v>17462</v>
      </c>
      <c r="X7" t="str">
        <f t="shared" si="1"/>
        <v>D</v>
      </c>
      <c r="Y7" s="23">
        <f t="shared" si="2"/>
        <v>0.99982819837361125</v>
      </c>
    </row>
    <row r="8" spans="1:25">
      <c r="A8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17479</v>
      </c>
      <c r="T8">
        <v>0</v>
      </c>
      <c r="U8">
        <v>0</v>
      </c>
      <c r="V8">
        <v>139</v>
      </c>
      <c r="W8" s="22">
        <f t="shared" si="0"/>
        <v>17497</v>
      </c>
      <c r="X8" t="str">
        <f t="shared" si="1"/>
        <v>V</v>
      </c>
      <c r="Y8" s="23">
        <f t="shared" si="2"/>
        <v>0.99897125221466532</v>
      </c>
    </row>
    <row r="9" spans="1:25">
      <c r="A9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2</v>
      </c>
      <c r="K9">
        <v>0</v>
      </c>
      <c r="L9">
        <v>0</v>
      </c>
      <c r="M9">
        <v>17494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131</v>
      </c>
      <c r="W9" s="22">
        <f t="shared" si="0"/>
        <v>17498</v>
      </c>
      <c r="X9" t="str">
        <f t="shared" si="1"/>
        <v>N</v>
      </c>
      <c r="Y9" s="23">
        <f t="shared" si="2"/>
        <v>0.99977140244599383</v>
      </c>
    </row>
    <row r="10" spans="1:25">
      <c r="A10">
        <v>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17509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125</v>
      </c>
      <c r="W10" s="22">
        <f t="shared" si="0"/>
        <v>17513</v>
      </c>
      <c r="X10" t="str">
        <f t="shared" si="1"/>
        <v>P</v>
      </c>
      <c r="Y10" s="23">
        <f t="shared" si="2"/>
        <v>0.99977159824130646</v>
      </c>
    </row>
    <row r="11" spans="1:25">
      <c r="A11">
        <v>6</v>
      </c>
      <c r="B11">
        <v>55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11</v>
      </c>
      <c r="J11">
        <v>0</v>
      </c>
      <c r="K11">
        <v>0</v>
      </c>
      <c r="L11">
        <v>0</v>
      </c>
      <c r="M11">
        <v>13</v>
      </c>
      <c r="N11">
        <v>0</v>
      </c>
      <c r="O11">
        <v>0</v>
      </c>
      <c r="P11">
        <v>0</v>
      </c>
      <c r="Q11">
        <v>0</v>
      </c>
      <c r="R11">
        <v>17437</v>
      </c>
      <c r="S11">
        <v>0</v>
      </c>
      <c r="T11">
        <v>0</v>
      </c>
      <c r="U11">
        <v>0</v>
      </c>
      <c r="V11">
        <v>121</v>
      </c>
      <c r="W11" s="22">
        <f t="shared" si="0"/>
        <v>17516</v>
      </c>
      <c r="X11" t="str">
        <f t="shared" si="1"/>
        <v>T</v>
      </c>
      <c r="Y11" s="23">
        <f t="shared" si="2"/>
        <v>0.99548983786252565</v>
      </c>
    </row>
    <row r="12" spans="1:25">
      <c r="A12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</v>
      </c>
      <c r="J12">
        <v>0</v>
      </c>
      <c r="K12">
        <v>17514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91</v>
      </c>
      <c r="W12" s="22">
        <f t="shared" si="0"/>
        <v>17519</v>
      </c>
      <c r="X12" t="str">
        <f t="shared" si="1"/>
        <v>L</v>
      </c>
      <c r="Y12" s="23">
        <f t="shared" si="2"/>
        <v>0.99971459558193965</v>
      </c>
    </row>
    <row r="13" spans="1:25">
      <c r="A13">
        <v>8</v>
      </c>
      <c r="B13">
        <v>0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4</v>
      </c>
      <c r="J13">
        <v>0</v>
      </c>
      <c r="K13">
        <v>17555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72</v>
      </c>
      <c r="W13" s="22">
        <f t="shared" si="0"/>
        <v>17561</v>
      </c>
      <c r="X13" t="str">
        <f t="shared" si="1"/>
        <v>L</v>
      </c>
      <c r="Y13" s="23">
        <f t="shared" si="2"/>
        <v>0.99965833380786973</v>
      </c>
    </row>
    <row r="14" spans="1:25">
      <c r="A14">
        <v>9</v>
      </c>
      <c r="B14">
        <v>0</v>
      </c>
      <c r="C14">
        <v>0</v>
      </c>
      <c r="D14">
        <v>1</v>
      </c>
      <c r="E14">
        <v>0</v>
      </c>
      <c r="F14">
        <v>17557</v>
      </c>
      <c r="G14">
        <v>0</v>
      </c>
      <c r="H14">
        <v>0</v>
      </c>
      <c r="I14">
        <v>2</v>
      </c>
      <c r="J14">
        <v>0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1</v>
      </c>
      <c r="V14">
        <v>67</v>
      </c>
      <c r="W14" s="22">
        <f t="shared" si="0"/>
        <v>17567</v>
      </c>
      <c r="X14" t="str">
        <f t="shared" si="1"/>
        <v>F</v>
      </c>
      <c r="Y14" s="23">
        <f t="shared" si="2"/>
        <v>0.9994307508396425</v>
      </c>
    </row>
    <row r="15" spans="1:25">
      <c r="A15">
        <v>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</v>
      </c>
      <c r="J15">
        <v>0</v>
      </c>
      <c r="K15">
        <v>17553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62</v>
      </c>
      <c r="W15" s="22">
        <f t="shared" si="0"/>
        <v>17567</v>
      </c>
      <c r="X15" t="str">
        <f t="shared" si="1"/>
        <v>L</v>
      </c>
      <c r="Y15" s="23">
        <f t="shared" si="2"/>
        <v>0.99920305117549957</v>
      </c>
    </row>
    <row r="16" spans="1:25">
      <c r="A16">
        <v>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17572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61</v>
      </c>
      <c r="W16" s="22">
        <f t="shared" si="0"/>
        <v>17574</v>
      </c>
      <c r="X16" t="str">
        <f t="shared" si="1"/>
        <v>K</v>
      </c>
      <c r="Y16" s="23">
        <f t="shared" si="2"/>
        <v>0.99988619551610336</v>
      </c>
    </row>
    <row r="17" spans="1:29" s="24" customFormat="1">
      <c r="A17" s="24">
        <v>12</v>
      </c>
      <c r="B17" s="24">
        <v>0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17466</v>
      </c>
      <c r="J17" s="24">
        <v>0</v>
      </c>
      <c r="K17" s="24">
        <v>18</v>
      </c>
      <c r="L17" s="24">
        <v>0</v>
      </c>
      <c r="M17" s="24">
        <v>3</v>
      </c>
      <c r="N17" s="24">
        <v>0</v>
      </c>
      <c r="O17" s="24">
        <v>0</v>
      </c>
      <c r="P17" s="24">
        <v>0</v>
      </c>
      <c r="Q17" s="24">
        <v>0</v>
      </c>
      <c r="R17" s="24">
        <v>15</v>
      </c>
      <c r="S17" s="24">
        <v>71</v>
      </c>
      <c r="T17" s="24">
        <v>0</v>
      </c>
      <c r="U17" s="24">
        <v>0</v>
      </c>
      <c r="V17" s="24">
        <v>59</v>
      </c>
      <c r="W17" s="24">
        <f t="shared" si="0"/>
        <v>17573</v>
      </c>
      <c r="X17" s="24" t="str">
        <f t="shared" si="1"/>
        <v>I</v>
      </c>
      <c r="Y17" s="25">
        <f t="shared" si="2"/>
        <v>0.99391111364024354</v>
      </c>
      <c r="AA17" s="25">
        <f>S17/W17</f>
        <v>4.0402890798383884E-3</v>
      </c>
      <c r="AB17" s="25">
        <f>Y17+AA17</f>
        <v>0.99795140272008198</v>
      </c>
    </row>
    <row r="18" spans="1:29">
      <c r="A18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17577</v>
      </c>
      <c r="O18">
        <v>0</v>
      </c>
      <c r="P18">
        <v>0</v>
      </c>
      <c r="Q18">
        <v>3</v>
      </c>
      <c r="R18">
        <v>0</v>
      </c>
      <c r="S18">
        <v>0</v>
      </c>
      <c r="T18">
        <v>0</v>
      </c>
      <c r="U18">
        <v>0</v>
      </c>
      <c r="V18">
        <v>58</v>
      </c>
      <c r="W18" s="22">
        <f t="shared" si="0"/>
        <v>17580</v>
      </c>
      <c r="X18" t="str">
        <f t="shared" si="1"/>
        <v>P</v>
      </c>
      <c r="Y18" s="23">
        <f t="shared" si="2"/>
        <v>0.99982935153583619</v>
      </c>
    </row>
    <row r="19" spans="1:29">
      <c r="A19" s="24">
        <v>14</v>
      </c>
      <c r="B19" s="24">
        <v>17548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10</v>
      </c>
      <c r="S19" s="24">
        <v>20</v>
      </c>
      <c r="T19" s="24">
        <v>0</v>
      </c>
      <c r="U19" s="24">
        <v>0</v>
      </c>
      <c r="V19" s="24">
        <v>57</v>
      </c>
      <c r="W19" s="24">
        <f t="shared" si="0"/>
        <v>17578</v>
      </c>
      <c r="X19" s="24" t="str">
        <f t="shared" si="1"/>
        <v>A</v>
      </c>
      <c r="Y19" s="25">
        <f t="shared" si="2"/>
        <v>0.99829332119695069</v>
      </c>
      <c r="Z19" s="24"/>
      <c r="AA19" s="25">
        <f>S19/W19</f>
        <v>1.1377858686995106E-3</v>
      </c>
      <c r="AB19" s="25">
        <f>Y19+AA19</f>
        <v>0.99943110706565019</v>
      </c>
      <c r="AC19" s="24"/>
    </row>
    <row r="20" spans="1:29">
      <c r="A20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17581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56</v>
      </c>
      <c r="W20" s="22">
        <f t="shared" si="0"/>
        <v>17581</v>
      </c>
      <c r="X20" t="str">
        <f t="shared" si="1"/>
        <v>Q</v>
      </c>
      <c r="Y20" s="23">
        <f t="shared" si="2"/>
        <v>1</v>
      </c>
    </row>
    <row r="21" spans="1:29">
      <c r="A21">
        <v>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17573</v>
      </c>
      <c r="N21">
        <v>0</v>
      </c>
      <c r="O21">
        <v>0</v>
      </c>
      <c r="P21">
        <v>0</v>
      </c>
      <c r="Q21">
        <v>8</v>
      </c>
      <c r="R21">
        <v>0</v>
      </c>
      <c r="S21">
        <v>0</v>
      </c>
      <c r="T21">
        <v>0</v>
      </c>
      <c r="U21">
        <v>0</v>
      </c>
      <c r="V21">
        <v>53</v>
      </c>
      <c r="W21" s="22">
        <f t="shared" si="0"/>
        <v>17583</v>
      </c>
      <c r="X21" t="str">
        <f t="shared" si="1"/>
        <v>N</v>
      </c>
      <c r="Y21" s="23">
        <f t="shared" si="2"/>
        <v>0.99943126883921973</v>
      </c>
    </row>
    <row r="22" spans="1:29">
      <c r="A22">
        <v>17</v>
      </c>
      <c r="B22">
        <v>17587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52</v>
      </c>
      <c r="W22" s="22">
        <f t="shared" si="0"/>
        <v>17587</v>
      </c>
      <c r="X22" t="str">
        <f t="shared" si="1"/>
        <v>A</v>
      </c>
      <c r="Y22" s="23">
        <f t="shared" si="2"/>
        <v>1</v>
      </c>
    </row>
    <row r="23" spans="1:29">
      <c r="A23">
        <v>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17585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50</v>
      </c>
      <c r="W23" s="22">
        <f t="shared" si="0"/>
        <v>17587</v>
      </c>
      <c r="X23" t="str">
        <f t="shared" si="1"/>
        <v>I</v>
      </c>
      <c r="Y23" s="23">
        <f t="shared" si="2"/>
        <v>0.99988627963836929</v>
      </c>
    </row>
    <row r="24" spans="1:29">
      <c r="A24">
        <v>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0</v>
      </c>
      <c r="O24">
        <v>0</v>
      </c>
      <c r="P24">
        <v>0</v>
      </c>
      <c r="Q24">
        <v>17587</v>
      </c>
      <c r="R24">
        <v>0</v>
      </c>
      <c r="S24">
        <v>0</v>
      </c>
      <c r="T24">
        <v>0</v>
      </c>
      <c r="U24">
        <v>0</v>
      </c>
      <c r="V24">
        <v>49</v>
      </c>
      <c r="W24" s="22">
        <f t="shared" si="0"/>
        <v>17589</v>
      </c>
      <c r="X24" t="str">
        <f t="shared" si="1"/>
        <v>S</v>
      </c>
      <c r="Y24" s="23">
        <f t="shared" si="2"/>
        <v>0.99988629256921935</v>
      </c>
    </row>
    <row r="25" spans="1:29">
      <c r="A25">
        <v>20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22</v>
      </c>
      <c r="J25">
        <v>0</v>
      </c>
      <c r="K25">
        <v>0</v>
      </c>
      <c r="L25">
        <v>0</v>
      </c>
      <c r="M25">
        <v>0</v>
      </c>
      <c r="N25">
        <v>2</v>
      </c>
      <c r="O25">
        <v>0</v>
      </c>
      <c r="P25">
        <v>0</v>
      </c>
      <c r="Q25">
        <v>0</v>
      </c>
      <c r="R25">
        <v>17566</v>
      </c>
      <c r="S25">
        <v>0</v>
      </c>
      <c r="T25">
        <v>0</v>
      </c>
      <c r="U25">
        <v>0</v>
      </c>
      <c r="V25">
        <v>49</v>
      </c>
      <c r="W25" s="22">
        <f t="shared" si="0"/>
        <v>17591</v>
      </c>
      <c r="X25" t="str">
        <f t="shared" si="1"/>
        <v>T</v>
      </c>
      <c r="Y25" s="23">
        <f t="shared" si="2"/>
        <v>0.99857881871411514</v>
      </c>
    </row>
    <row r="26" spans="1:29">
      <c r="A26">
        <v>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17594</v>
      </c>
      <c r="S26">
        <v>0</v>
      </c>
      <c r="T26">
        <v>0</v>
      </c>
      <c r="U26">
        <v>0</v>
      </c>
      <c r="V26">
        <v>49</v>
      </c>
      <c r="W26" s="22">
        <f t="shared" si="0"/>
        <v>17594</v>
      </c>
      <c r="X26" t="str">
        <f t="shared" si="1"/>
        <v>T</v>
      </c>
      <c r="Y26" s="23">
        <f t="shared" si="2"/>
        <v>1</v>
      </c>
    </row>
    <row r="27" spans="1:29">
      <c r="A27">
        <v>22</v>
      </c>
      <c r="B27">
        <v>0</v>
      </c>
      <c r="C27">
        <v>0</v>
      </c>
      <c r="D27">
        <v>0</v>
      </c>
      <c r="E27">
        <v>0</v>
      </c>
      <c r="F27">
        <v>17592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48</v>
      </c>
      <c r="W27" s="22">
        <f t="shared" si="0"/>
        <v>17593</v>
      </c>
      <c r="X27" t="str">
        <f t="shared" si="1"/>
        <v>F</v>
      </c>
      <c r="Y27" s="23">
        <f t="shared" si="2"/>
        <v>0.99994315921104981</v>
      </c>
    </row>
    <row r="28" spans="1:29">
      <c r="A28">
        <v>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17593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48</v>
      </c>
      <c r="W28" s="22">
        <f t="shared" si="0"/>
        <v>17593</v>
      </c>
      <c r="X28" t="str">
        <f t="shared" si="1"/>
        <v>P</v>
      </c>
      <c r="Y28" s="23">
        <f t="shared" si="2"/>
        <v>1</v>
      </c>
    </row>
    <row r="29" spans="1:29">
      <c r="A29">
        <v>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17588</v>
      </c>
      <c r="V29">
        <v>48</v>
      </c>
      <c r="W29" s="22">
        <f t="shared" si="0"/>
        <v>17588</v>
      </c>
      <c r="X29" t="str">
        <f t="shared" si="1"/>
        <v>Y</v>
      </c>
      <c r="Y29" s="23">
        <f t="shared" si="2"/>
        <v>1</v>
      </c>
    </row>
    <row r="30" spans="1:29">
      <c r="A30">
        <v>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17592</v>
      </c>
      <c r="S30">
        <v>0</v>
      </c>
      <c r="T30">
        <v>0</v>
      </c>
      <c r="U30">
        <v>0</v>
      </c>
      <c r="V30">
        <v>48</v>
      </c>
      <c r="W30" s="22">
        <f t="shared" si="0"/>
        <v>17592</v>
      </c>
      <c r="X30" t="str">
        <f t="shared" si="1"/>
        <v>T</v>
      </c>
      <c r="Y30" s="23">
        <f t="shared" si="2"/>
        <v>1</v>
      </c>
    </row>
    <row r="31" spans="1:29">
      <c r="A31">
        <v>26</v>
      </c>
      <c r="B31">
        <v>0</v>
      </c>
      <c r="C31">
        <v>0</v>
      </c>
      <c r="D31">
        <v>0</v>
      </c>
      <c r="E31">
        <v>0</v>
      </c>
      <c r="F31">
        <v>0</v>
      </c>
      <c r="G31">
        <v>17594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48</v>
      </c>
      <c r="W31" s="22">
        <f t="shared" si="0"/>
        <v>17594</v>
      </c>
      <c r="X31" t="str">
        <f t="shared" si="1"/>
        <v>G</v>
      </c>
      <c r="Y31" s="23">
        <f t="shared" si="2"/>
        <v>1</v>
      </c>
    </row>
    <row r="32" spans="1:29">
      <c r="A32">
        <v>27</v>
      </c>
      <c r="B32">
        <v>0</v>
      </c>
      <c r="C32">
        <v>0</v>
      </c>
      <c r="D32">
        <v>17591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48</v>
      </c>
      <c r="W32" s="22">
        <f t="shared" si="0"/>
        <v>17591</v>
      </c>
      <c r="X32" t="str">
        <f t="shared" si="1"/>
        <v>D</v>
      </c>
      <c r="Y32" s="23">
        <f t="shared" si="2"/>
        <v>1</v>
      </c>
    </row>
    <row r="33" spans="1:25">
      <c r="A33">
        <v>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17594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48</v>
      </c>
      <c r="W33" s="22">
        <f t="shared" si="0"/>
        <v>17594</v>
      </c>
      <c r="X33" t="str">
        <f t="shared" si="1"/>
        <v>P</v>
      </c>
      <c r="Y33" s="23">
        <f t="shared" si="2"/>
        <v>1</v>
      </c>
    </row>
    <row r="34" spans="1:25">
      <c r="A34">
        <v>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17596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46</v>
      </c>
      <c r="W34" s="22">
        <f t="shared" si="0"/>
        <v>17596</v>
      </c>
      <c r="X34" t="str">
        <f t="shared" si="1"/>
        <v>P</v>
      </c>
      <c r="Y34" s="23">
        <f t="shared" si="2"/>
        <v>1</v>
      </c>
    </row>
    <row r="35" spans="1:25">
      <c r="A35">
        <v>30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17584</v>
      </c>
      <c r="V35">
        <v>46</v>
      </c>
      <c r="W35" s="22">
        <f t="shared" si="0"/>
        <v>17594</v>
      </c>
      <c r="X35" t="str">
        <f t="shared" si="1"/>
        <v>Y</v>
      </c>
      <c r="Y35" s="23">
        <f t="shared" si="2"/>
        <v>0.99943162441741507</v>
      </c>
    </row>
    <row r="36" spans="1:25">
      <c r="A36">
        <v>31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17597</v>
      </c>
      <c r="R36">
        <v>0</v>
      </c>
      <c r="S36">
        <v>0</v>
      </c>
      <c r="T36">
        <v>0</v>
      </c>
      <c r="U36">
        <v>0</v>
      </c>
      <c r="V36">
        <v>46</v>
      </c>
      <c r="W36" s="22">
        <f t="shared" si="0"/>
        <v>17598</v>
      </c>
      <c r="X36" t="str">
        <f t="shared" si="1"/>
        <v>S</v>
      </c>
      <c r="Y36" s="23">
        <f t="shared" si="2"/>
        <v>0.99994317536083643</v>
      </c>
    </row>
    <row r="37" spans="1:25">
      <c r="A37">
        <v>32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17596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46</v>
      </c>
      <c r="W37" s="22">
        <f t="shared" si="0"/>
        <v>17596</v>
      </c>
      <c r="X37" t="str">
        <f t="shared" si="1"/>
        <v>H</v>
      </c>
      <c r="Y37" s="23">
        <f t="shared" si="2"/>
        <v>1</v>
      </c>
    </row>
    <row r="38" spans="1:25">
      <c r="A38">
        <v>33</v>
      </c>
      <c r="B38">
        <v>0</v>
      </c>
      <c r="C38">
        <v>0</v>
      </c>
      <c r="D38">
        <v>0</v>
      </c>
      <c r="E38">
        <v>0</v>
      </c>
      <c r="F38">
        <v>0</v>
      </c>
      <c r="G38">
        <v>17597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46</v>
      </c>
      <c r="W38" s="22">
        <f t="shared" si="0"/>
        <v>17597</v>
      </c>
      <c r="X38" t="str">
        <f t="shared" si="1"/>
        <v>G</v>
      </c>
      <c r="Y38" s="23">
        <f t="shared" si="2"/>
        <v>1</v>
      </c>
    </row>
    <row r="39" spans="1:25">
      <c r="A39">
        <v>34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17598</v>
      </c>
      <c r="S39">
        <v>0</v>
      </c>
      <c r="T39">
        <v>0</v>
      </c>
      <c r="U39">
        <v>0</v>
      </c>
      <c r="V39">
        <v>46</v>
      </c>
      <c r="W39" s="22">
        <f t="shared" si="0"/>
        <v>17598</v>
      </c>
      <c r="X39" t="str">
        <f t="shared" si="1"/>
        <v>T</v>
      </c>
      <c r="Y39" s="23">
        <f t="shared" si="2"/>
        <v>1</v>
      </c>
    </row>
    <row r="40" spans="1:25">
      <c r="A40">
        <v>35</v>
      </c>
      <c r="B40">
        <v>0</v>
      </c>
      <c r="C40">
        <v>0</v>
      </c>
      <c r="D40">
        <v>0</v>
      </c>
      <c r="E40">
        <v>0</v>
      </c>
      <c r="F40">
        <v>0</v>
      </c>
      <c r="G40">
        <v>17597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46</v>
      </c>
      <c r="W40" s="22">
        <f t="shared" si="0"/>
        <v>17597</v>
      </c>
      <c r="X40" t="str">
        <f t="shared" si="1"/>
        <v>G</v>
      </c>
      <c r="Y40" s="23">
        <f t="shared" si="2"/>
        <v>1</v>
      </c>
    </row>
    <row r="41" spans="1:25">
      <c r="A41">
        <v>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17592</v>
      </c>
      <c r="S41">
        <v>0</v>
      </c>
      <c r="T41">
        <v>0</v>
      </c>
      <c r="U41">
        <v>0</v>
      </c>
      <c r="V41">
        <v>46</v>
      </c>
      <c r="W41" s="22">
        <f t="shared" si="0"/>
        <v>17595</v>
      </c>
      <c r="X41" t="str">
        <f t="shared" si="1"/>
        <v>T</v>
      </c>
      <c r="Y41" s="23">
        <f t="shared" si="2"/>
        <v>0.99982949701619783</v>
      </c>
    </row>
    <row r="42" spans="1:25">
      <c r="A42">
        <v>37</v>
      </c>
      <c r="B42">
        <v>0</v>
      </c>
      <c r="C42">
        <v>0</v>
      </c>
      <c r="D42">
        <v>0</v>
      </c>
      <c r="E42">
        <v>0</v>
      </c>
      <c r="F42">
        <v>0</v>
      </c>
      <c r="G42">
        <v>17594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46</v>
      </c>
      <c r="W42" s="22">
        <f t="shared" si="0"/>
        <v>17594</v>
      </c>
      <c r="X42" t="str">
        <f t="shared" si="1"/>
        <v>G</v>
      </c>
      <c r="Y42" s="23">
        <f t="shared" si="2"/>
        <v>1</v>
      </c>
    </row>
    <row r="43" spans="1:25">
      <c r="A43">
        <v>38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16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17574</v>
      </c>
      <c r="V43">
        <v>46</v>
      </c>
      <c r="W43" s="22">
        <f t="shared" si="0"/>
        <v>17592</v>
      </c>
      <c r="X43" t="str">
        <f t="shared" si="1"/>
        <v>Y</v>
      </c>
      <c r="Y43" s="23">
        <f t="shared" si="2"/>
        <v>0.99897680763983632</v>
      </c>
    </row>
    <row r="44" spans="1:25">
      <c r="A44">
        <v>39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17595</v>
      </c>
      <c r="S44">
        <v>0</v>
      </c>
      <c r="T44">
        <v>0</v>
      </c>
      <c r="U44">
        <v>0</v>
      </c>
      <c r="V44">
        <v>46</v>
      </c>
      <c r="W44" s="22">
        <f t="shared" si="0"/>
        <v>17597</v>
      </c>
      <c r="X44" t="str">
        <f t="shared" si="1"/>
        <v>T</v>
      </c>
      <c r="Y44" s="23">
        <f t="shared" si="2"/>
        <v>0.99988634426322665</v>
      </c>
    </row>
    <row r="45" spans="1:25">
      <c r="A45">
        <v>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31</v>
      </c>
      <c r="J45">
        <v>0</v>
      </c>
      <c r="K45">
        <v>2</v>
      </c>
      <c r="L45">
        <v>17557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2</v>
      </c>
      <c r="T45">
        <v>0</v>
      </c>
      <c r="U45">
        <v>0</v>
      </c>
      <c r="V45">
        <v>46</v>
      </c>
      <c r="W45" s="22">
        <f t="shared" si="0"/>
        <v>17593</v>
      </c>
      <c r="X45" t="str">
        <f t="shared" si="1"/>
        <v>M</v>
      </c>
      <c r="Y45" s="23">
        <f t="shared" si="2"/>
        <v>0.99795373159779455</v>
      </c>
    </row>
    <row r="46" spans="1:25">
      <c r="A46">
        <v>41</v>
      </c>
      <c r="B46">
        <v>0</v>
      </c>
      <c r="C46">
        <v>0</v>
      </c>
      <c r="D46">
        <v>17596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46</v>
      </c>
      <c r="W46" s="22">
        <f t="shared" si="0"/>
        <v>17597</v>
      </c>
      <c r="X46" t="str">
        <f t="shared" si="1"/>
        <v>D</v>
      </c>
      <c r="Y46" s="23">
        <f t="shared" si="2"/>
        <v>0.99994317213161332</v>
      </c>
    </row>
    <row r="47" spans="1:25">
      <c r="A47">
        <v>42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17598</v>
      </c>
      <c r="S47">
        <v>0</v>
      </c>
      <c r="T47">
        <v>0</v>
      </c>
      <c r="U47">
        <v>0</v>
      </c>
      <c r="V47">
        <v>46</v>
      </c>
      <c r="W47" s="22">
        <f t="shared" si="0"/>
        <v>17598</v>
      </c>
      <c r="X47" t="str">
        <f t="shared" si="1"/>
        <v>T</v>
      </c>
      <c r="Y47" s="23">
        <f t="shared" si="2"/>
        <v>1</v>
      </c>
    </row>
    <row r="48" spans="1:25">
      <c r="A48">
        <v>43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17591</v>
      </c>
      <c r="T48">
        <v>0</v>
      </c>
      <c r="U48">
        <v>0</v>
      </c>
      <c r="V48">
        <v>46</v>
      </c>
      <c r="W48" s="22">
        <f t="shared" si="0"/>
        <v>17594</v>
      </c>
      <c r="X48" t="str">
        <f t="shared" si="1"/>
        <v>V</v>
      </c>
      <c r="Y48" s="23">
        <f t="shared" si="2"/>
        <v>0.99982948732522448</v>
      </c>
    </row>
    <row r="49" spans="1:34">
      <c r="A49">
        <v>44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17588</v>
      </c>
      <c r="N49">
        <v>0</v>
      </c>
      <c r="O49">
        <v>0</v>
      </c>
      <c r="P49">
        <v>0</v>
      </c>
      <c r="Q49">
        <v>6</v>
      </c>
      <c r="R49">
        <v>2</v>
      </c>
      <c r="S49">
        <v>0</v>
      </c>
      <c r="T49">
        <v>0</v>
      </c>
      <c r="U49">
        <v>1</v>
      </c>
      <c r="V49">
        <v>46</v>
      </c>
      <c r="W49" s="22">
        <f t="shared" si="0"/>
        <v>17598</v>
      </c>
      <c r="X49" t="str">
        <f t="shared" si="1"/>
        <v>N</v>
      </c>
      <c r="Y49" s="23">
        <f t="shared" si="2"/>
        <v>0.99943175360836456</v>
      </c>
    </row>
    <row r="50" spans="1:34">
      <c r="A50">
        <v>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17597</v>
      </c>
      <c r="Q50">
        <v>0</v>
      </c>
      <c r="R50">
        <v>0</v>
      </c>
      <c r="S50">
        <v>0</v>
      </c>
      <c r="T50">
        <v>0</v>
      </c>
      <c r="U50">
        <v>0</v>
      </c>
      <c r="V50">
        <v>46</v>
      </c>
      <c r="W50" s="22">
        <f t="shared" si="0"/>
        <v>17597</v>
      </c>
      <c r="X50" t="str">
        <f t="shared" si="1"/>
        <v>R</v>
      </c>
      <c r="Y50" s="23">
        <f t="shared" si="2"/>
        <v>1</v>
      </c>
    </row>
    <row r="51" spans="1:34">
      <c r="A51">
        <v>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17597</v>
      </c>
      <c r="S51">
        <v>0</v>
      </c>
      <c r="T51">
        <v>0</v>
      </c>
      <c r="U51">
        <v>0</v>
      </c>
      <c r="V51">
        <v>46</v>
      </c>
      <c r="W51" s="22">
        <f t="shared" si="0"/>
        <v>17597</v>
      </c>
      <c r="X51" t="str">
        <f t="shared" si="1"/>
        <v>T</v>
      </c>
      <c r="Y51" s="23">
        <f t="shared" si="2"/>
        <v>1</v>
      </c>
    </row>
    <row r="52" spans="1:34">
      <c r="A52">
        <v>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17589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46</v>
      </c>
      <c r="W52" s="22">
        <f t="shared" si="0"/>
        <v>17590</v>
      </c>
      <c r="X52" t="str">
        <f t="shared" si="1"/>
        <v>H</v>
      </c>
      <c r="Y52" s="23">
        <f t="shared" si="2"/>
        <v>0.99994314951677088</v>
      </c>
    </row>
    <row r="53" spans="1:34">
      <c r="A53" s="24">
        <v>48</v>
      </c>
      <c r="B53" s="24">
        <v>0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3</v>
      </c>
      <c r="K53" s="24">
        <v>1</v>
      </c>
      <c r="L53" s="24">
        <v>0</v>
      </c>
      <c r="M53" s="24">
        <v>0</v>
      </c>
      <c r="N53" s="24">
        <v>0</v>
      </c>
      <c r="O53" s="24">
        <v>17588</v>
      </c>
      <c r="P53" s="24">
        <v>2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46</v>
      </c>
      <c r="W53" s="24">
        <f t="shared" si="0"/>
        <v>17594</v>
      </c>
      <c r="X53" s="24" t="str">
        <f t="shared" si="1"/>
        <v>Q</v>
      </c>
      <c r="Y53" s="25">
        <f t="shared" si="2"/>
        <v>0.99965897465044906</v>
      </c>
      <c r="Z53" s="24"/>
      <c r="AA53" s="25">
        <f>J53/W53</f>
        <v>1.7051267477549164E-4</v>
      </c>
      <c r="AB53" s="24"/>
      <c r="AC53" s="24"/>
      <c r="AD53" s="24"/>
    </row>
    <row r="54" spans="1:34">
      <c r="A54">
        <v>49</v>
      </c>
      <c r="B54">
        <v>0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17591</v>
      </c>
      <c r="V54">
        <v>46</v>
      </c>
      <c r="W54" s="22">
        <f t="shared" si="0"/>
        <v>17594</v>
      </c>
      <c r="X54" t="str">
        <f t="shared" si="1"/>
        <v>Y</v>
      </c>
      <c r="Y54" s="23">
        <f t="shared" si="2"/>
        <v>0.99982948732522448</v>
      </c>
      <c r="AA54" s="23"/>
    </row>
    <row r="55" spans="1:34">
      <c r="A55">
        <v>50</v>
      </c>
      <c r="B55">
        <v>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17594</v>
      </c>
      <c r="R55">
        <v>0</v>
      </c>
      <c r="S55">
        <v>0</v>
      </c>
      <c r="T55">
        <v>0</v>
      </c>
      <c r="U55">
        <v>0</v>
      </c>
      <c r="V55">
        <v>46</v>
      </c>
      <c r="W55" s="22">
        <f t="shared" si="0"/>
        <v>17597</v>
      </c>
      <c r="X55" t="str">
        <f t="shared" si="1"/>
        <v>S</v>
      </c>
      <c r="Y55" s="23">
        <f t="shared" si="2"/>
        <v>0.99982951639484008</v>
      </c>
      <c r="AA55" s="23"/>
    </row>
    <row r="56" spans="1:34">
      <c r="A56">
        <v>51</v>
      </c>
      <c r="B56">
        <v>1</v>
      </c>
      <c r="C56">
        <v>0</v>
      </c>
      <c r="D56">
        <v>3</v>
      </c>
      <c r="E56">
        <v>17580</v>
      </c>
      <c r="F56">
        <v>0</v>
      </c>
      <c r="G56">
        <v>5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46</v>
      </c>
      <c r="W56" s="22">
        <f t="shared" si="0"/>
        <v>17592</v>
      </c>
      <c r="X56" t="str">
        <f t="shared" si="1"/>
        <v>E</v>
      </c>
      <c r="Y56" s="23">
        <f t="shared" si="2"/>
        <v>0.99931787175989084</v>
      </c>
      <c r="AA56" s="23"/>
    </row>
    <row r="57" spans="1:34" s="24" customFormat="1">
      <c r="A57" s="24">
        <v>52</v>
      </c>
      <c r="B57" s="24">
        <v>0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17544</v>
      </c>
      <c r="K57" s="24">
        <v>0</v>
      </c>
      <c r="L57" s="24">
        <v>1</v>
      </c>
      <c r="M57" s="24">
        <v>4</v>
      </c>
      <c r="N57" s="24">
        <v>0</v>
      </c>
      <c r="O57" s="24">
        <v>0</v>
      </c>
      <c r="P57" s="24">
        <v>43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46</v>
      </c>
      <c r="W57" s="22">
        <f t="shared" si="0"/>
        <v>17592</v>
      </c>
      <c r="X57" t="str">
        <f t="shared" si="1"/>
        <v>K</v>
      </c>
      <c r="Y57" s="23">
        <f t="shared" si="2"/>
        <v>0.99727148703956348</v>
      </c>
      <c r="AA57" s="25"/>
    </row>
    <row r="58" spans="1:34">
      <c r="A58">
        <v>53</v>
      </c>
      <c r="B58">
        <v>0</v>
      </c>
      <c r="C58">
        <v>0</v>
      </c>
      <c r="D58">
        <v>0</v>
      </c>
      <c r="E58">
        <v>0</v>
      </c>
      <c r="F58">
        <v>0</v>
      </c>
      <c r="G58">
        <v>17584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46</v>
      </c>
      <c r="W58" s="22">
        <f t="shared" si="0"/>
        <v>17585</v>
      </c>
      <c r="X58" t="str">
        <f t="shared" si="1"/>
        <v>G</v>
      </c>
      <c r="Y58" s="23">
        <f t="shared" si="2"/>
        <v>0.9999431333522889</v>
      </c>
      <c r="AA58" s="23"/>
    </row>
    <row r="59" spans="1:34">
      <c r="A59">
        <v>54</v>
      </c>
      <c r="B59">
        <v>0</v>
      </c>
      <c r="C59">
        <v>0</v>
      </c>
      <c r="D59">
        <v>0</v>
      </c>
      <c r="E59">
        <v>2</v>
      </c>
      <c r="F59">
        <v>0</v>
      </c>
      <c r="G59">
        <v>0</v>
      </c>
      <c r="H59">
        <v>0</v>
      </c>
      <c r="I59">
        <v>0</v>
      </c>
      <c r="J59">
        <v>17527</v>
      </c>
      <c r="K59">
        <v>0</v>
      </c>
      <c r="L59">
        <v>3</v>
      </c>
      <c r="M59">
        <v>1</v>
      </c>
      <c r="N59">
        <v>0</v>
      </c>
      <c r="O59">
        <v>0</v>
      </c>
      <c r="P59">
        <v>57</v>
      </c>
      <c r="Q59">
        <v>0</v>
      </c>
      <c r="R59">
        <v>1</v>
      </c>
      <c r="S59">
        <v>0</v>
      </c>
      <c r="T59">
        <v>0</v>
      </c>
      <c r="U59">
        <v>0</v>
      </c>
      <c r="V59">
        <v>46</v>
      </c>
      <c r="W59" s="22">
        <f t="shared" si="0"/>
        <v>17591</v>
      </c>
      <c r="X59" t="str">
        <f t="shared" si="1"/>
        <v>K</v>
      </c>
      <c r="Y59" s="23">
        <f t="shared" si="2"/>
        <v>0.99636177590813479</v>
      </c>
      <c r="AA59" s="23"/>
    </row>
    <row r="60" spans="1:34">
      <c r="A60">
        <v>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17595</v>
      </c>
      <c r="U60">
        <v>0</v>
      </c>
      <c r="V60">
        <v>46</v>
      </c>
      <c r="W60" s="22">
        <f t="shared" si="0"/>
        <v>17595</v>
      </c>
      <c r="X60" t="str">
        <f t="shared" si="1"/>
        <v>W</v>
      </c>
      <c r="Y60" s="23">
        <f t="shared" si="2"/>
        <v>1</v>
      </c>
      <c r="AA60" s="23"/>
    </row>
    <row r="61" spans="1:34">
      <c r="A61" s="24">
        <v>56</v>
      </c>
      <c r="B61" s="24">
        <v>12</v>
      </c>
      <c r="C61" s="24">
        <v>0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2</v>
      </c>
      <c r="J61" s="24">
        <v>4</v>
      </c>
      <c r="K61" s="24">
        <v>0</v>
      </c>
      <c r="L61" s="24">
        <v>6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17570</v>
      </c>
      <c r="S61" s="24">
        <v>0</v>
      </c>
      <c r="T61" s="24">
        <v>0</v>
      </c>
      <c r="U61" s="24">
        <v>0</v>
      </c>
      <c r="V61" s="24">
        <v>46</v>
      </c>
      <c r="W61" s="24">
        <f t="shared" si="0"/>
        <v>17594</v>
      </c>
      <c r="X61" s="24" t="str">
        <f t="shared" si="1"/>
        <v>T</v>
      </c>
      <c r="Y61" s="25">
        <f t="shared" si="2"/>
        <v>0.99863589860179602</v>
      </c>
      <c r="Z61" s="24"/>
      <c r="AA61" s="25">
        <f>B61/W61</f>
        <v>6.8205069910196655E-4</v>
      </c>
      <c r="AB61" s="24"/>
      <c r="AC61" s="24"/>
      <c r="AD61" s="24"/>
      <c r="AE61" s="24"/>
      <c r="AF61" s="24"/>
      <c r="AG61" s="24"/>
      <c r="AH61" s="24"/>
    </row>
    <row r="62" spans="1:34">
      <c r="A62" s="24">
        <v>57</v>
      </c>
      <c r="B62" s="24">
        <v>3</v>
      </c>
      <c r="C62" s="24">
        <v>0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34</v>
      </c>
      <c r="J62" s="24">
        <v>3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17556</v>
      </c>
      <c r="S62" s="24">
        <v>0</v>
      </c>
      <c r="T62" s="24">
        <v>0</v>
      </c>
      <c r="U62" s="24">
        <v>0</v>
      </c>
      <c r="V62" s="24">
        <v>46</v>
      </c>
      <c r="W62" s="24">
        <f t="shared" si="0"/>
        <v>17596</v>
      </c>
      <c r="X62" s="24" t="str">
        <f t="shared" si="1"/>
        <v>T</v>
      </c>
      <c r="Y62" s="25">
        <f t="shared" si="2"/>
        <v>0.99772675608092753</v>
      </c>
      <c r="Z62" s="24"/>
      <c r="AA62" s="25">
        <f>L62/W62</f>
        <v>0</v>
      </c>
    </row>
    <row r="63" spans="1:34">
      <c r="A63">
        <v>58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17596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45</v>
      </c>
      <c r="W63" s="22">
        <f t="shared" si="0"/>
        <v>17597</v>
      </c>
      <c r="X63" t="str">
        <f t="shared" si="1"/>
        <v>N</v>
      </c>
      <c r="Y63" s="23">
        <f t="shared" si="2"/>
        <v>0.99994317213161332</v>
      </c>
      <c r="AA63" s="23"/>
    </row>
    <row r="64" spans="1:34">
      <c r="A64">
        <v>59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</v>
      </c>
      <c r="R64">
        <v>17595</v>
      </c>
      <c r="S64">
        <v>0</v>
      </c>
      <c r="T64">
        <v>0</v>
      </c>
      <c r="U64">
        <v>0</v>
      </c>
      <c r="V64">
        <v>45</v>
      </c>
      <c r="W64" s="22">
        <f t="shared" si="0"/>
        <v>17598</v>
      </c>
      <c r="X64" t="str">
        <f t="shared" si="1"/>
        <v>T</v>
      </c>
      <c r="Y64" s="23">
        <f t="shared" si="2"/>
        <v>0.99982952608250941</v>
      </c>
      <c r="AA64" s="23"/>
    </row>
    <row r="65" spans="1:27">
      <c r="A65">
        <v>60</v>
      </c>
      <c r="B65">
        <v>0</v>
      </c>
      <c r="C65">
        <v>0</v>
      </c>
      <c r="D65">
        <v>0</v>
      </c>
      <c r="E65">
        <v>17594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45</v>
      </c>
      <c r="W65" s="22">
        <f t="shared" si="0"/>
        <v>17596</v>
      </c>
      <c r="X65" t="str">
        <f t="shared" si="1"/>
        <v>E</v>
      </c>
      <c r="Y65" s="23">
        <f t="shared" si="2"/>
        <v>0.99988633780404634</v>
      </c>
      <c r="AA65" s="23"/>
    </row>
    <row r="66" spans="1:27">
      <c r="A66">
        <v>61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2</v>
      </c>
      <c r="N66">
        <v>0</v>
      </c>
      <c r="O66">
        <v>0</v>
      </c>
      <c r="P66">
        <v>0</v>
      </c>
      <c r="Q66">
        <v>0</v>
      </c>
      <c r="R66">
        <v>17594</v>
      </c>
      <c r="S66">
        <v>0</v>
      </c>
      <c r="T66">
        <v>0</v>
      </c>
      <c r="U66">
        <v>0</v>
      </c>
      <c r="V66">
        <v>45</v>
      </c>
      <c r="W66" s="22">
        <f t="shared" si="0"/>
        <v>17598</v>
      </c>
      <c r="X66" t="str">
        <f t="shared" si="1"/>
        <v>T</v>
      </c>
      <c r="Y66" s="23">
        <f t="shared" si="2"/>
        <v>0.99977270144334585</v>
      </c>
      <c r="AA66" s="23"/>
    </row>
    <row r="67" spans="1:27">
      <c r="A67">
        <v>62</v>
      </c>
      <c r="B67">
        <v>0</v>
      </c>
      <c r="C67">
        <v>0</v>
      </c>
      <c r="D67">
        <v>4</v>
      </c>
      <c r="E67">
        <v>0</v>
      </c>
      <c r="F67">
        <v>0</v>
      </c>
      <c r="G67">
        <v>17585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5</v>
      </c>
      <c r="R67">
        <v>0</v>
      </c>
      <c r="S67">
        <v>0</v>
      </c>
      <c r="T67">
        <v>0</v>
      </c>
      <c r="U67">
        <v>0</v>
      </c>
      <c r="V67">
        <v>45</v>
      </c>
      <c r="W67" s="22">
        <f t="shared" si="0"/>
        <v>17594</v>
      </c>
      <c r="X67" t="str">
        <f t="shared" si="1"/>
        <v>G</v>
      </c>
      <c r="Y67" s="23">
        <f t="shared" si="2"/>
        <v>0.99948846197567354</v>
      </c>
      <c r="AA67" s="23"/>
    </row>
    <row r="68" spans="1:27">
      <c r="A68">
        <v>63</v>
      </c>
      <c r="B68">
        <v>17588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2</v>
      </c>
      <c r="T68">
        <v>0</v>
      </c>
      <c r="U68">
        <v>0</v>
      </c>
      <c r="V68">
        <v>45</v>
      </c>
      <c r="W68" s="22">
        <f t="shared" si="0"/>
        <v>17593</v>
      </c>
      <c r="X68" t="str">
        <f t="shared" si="1"/>
        <v>A</v>
      </c>
      <c r="Y68" s="23">
        <f t="shared" si="2"/>
        <v>0.9997157960552493</v>
      </c>
      <c r="AA68" s="23"/>
    </row>
    <row r="69" spans="1:27">
      <c r="A69">
        <v>64</v>
      </c>
      <c r="B69">
        <v>3</v>
      </c>
      <c r="C69">
        <v>0</v>
      </c>
      <c r="D69">
        <v>0</v>
      </c>
      <c r="E69">
        <v>0</v>
      </c>
      <c r="F69">
        <v>0</v>
      </c>
      <c r="G69">
        <v>0</v>
      </c>
      <c r="H69">
        <v>7</v>
      </c>
      <c r="I69">
        <v>0</v>
      </c>
      <c r="J69">
        <v>0</v>
      </c>
      <c r="K69">
        <v>14</v>
      </c>
      <c r="L69">
        <v>0</v>
      </c>
      <c r="M69">
        <v>0</v>
      </c>
      <c r="N69">
        <v>17530</v>
      </c>
      <c r="O69">
        <v>0</v>
      </c>
      <c r="P69">
        <v>1</v>
      </c>
      <c r="Q69">
        <v>34</v>
      </c>
      <c r="R69">
        <v>1</v>
      </c>
      <c r="S69">
        <v>0</v>
      </c>
      <c r="T69">
        <v>0</v>
      </c>
      <c r="U69">
        <v>0</v>
      </c>
      <c r="V69">
        <v>45</v>
      </c>
      <c r="W69" s="22">
        <f t="shared" si="0"/>
        <v>17590</v>
      </c>
      <c r="X69" t="str">
        <f t="shared" si="1"/>
        <v>P</v>
      </c>
      <c r="Y69" s="23">
        <f t="shared" si="2"/>
        <v>0.99658897100625354</v>
      </c>
      <c r="AA69" s="23"/>
    </row>
    <row r="70" spans="1:27">
      <c r="A70">
        <v>65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17596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45</v>
      </c>
      <c r="W70" s="22">
        <f t="shared" ref="W70:W133" si="3">SUM(B70:U70)</f>
        <v>17598</v>
      </c>
      <c r="X70" t="str">
        <f t="shared" ref="X70:X133" si="4">INDEX(($B$4:$U$4),MATCH(LARGE(B70:U70,1),B70:U70,0))</f>
        <v>Q</v>
      </c>
      <c r="Y70" s="23">
        <f t="shared" ref="Y70:Y133" si="5">(MAX(B70:U70))/W70</f>
        <v>0.99988635072167287</v>
      </c>
      <c r="AA70" s="23"/>
    </row>
    <row r="71" spans="1:27">
      <c r="A71">
        <v>66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17596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45</v>
      </c>
      <c r="W71" s="22">
        <f t="shared" si="3"/>
        <v>17597</v>
      </c>
      <c r="X71" t="str">
        <f t="shared" si="4"/>
        <v>L</v>
      </c>
      <c r="Y71" s="23">
        <f t="shared" si="5"/>
        <v>0.99994317213161332</v>
      </c>
      <c r="AA71" s="23"/>
    </row>
    <row r="72" spans="1:27">
      <c r="A72">
        <v>67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17596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45</v>
      </c>
      <c r="W72" s="22">
        <f t="shared" si="3"/>
        <v>17596</v>
      </c>
      <c r="X72" t="str">
        <f t="shared" si="4"/>
        <v>N</v>
      </c>
      <c r="Y72" s="23">
        <f t="shared" si="5"/>
        <v>1</v>
      </c>
      <c r="AA72" s="23"/>
    </row>
    <row r="73" spans="1:27">
      <c r="A73">
        <v>68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17596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44</v>
      </c>
      <c r="W73" s="22">
        <f t="shared" si="3"/>
        <v>17596</v>
      </c>
      <c r="X73" t="str">
        <f t="shared" si="4"/>
        <v>P</v>
      </c>
      <c r="Y73" s="23">
        <f t="shared" si="5"/>
        <v>1</v>
      </c>
      <c r="AA73" s="23"/>
    </row>
    <row r="74" spans="1:27">
      <c r="A74">
        <v>69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17451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146</v>
      </c>
      <c r="T74">
        <v>0</v>
      </c>
      <c r="U74">
        <v>0</v>
      </c>
      <c r="V74">
        <v>44</v>
      </c>
      <c r="W74" s="22">
        <f t="shared" si="3"/>
        <v>17598</v>
      </c>
      <c r="X74" t="str">
        <f t="shared" si="4"/>
        <v>I</v>
      </c>
      <c r="Y74" s="23">
        <f t="shared" si="5"/>
        <v>0.99164677804295942</v>
      </c>
      <c r="AA74" s="23"/>
    </row>
    <row r="75" spans="1:27">
      <c r="A75">
        <v>70</v>
      </c>
      <c r="B75">
        <v>0</v>
      </c>
      <c r="C75">
        <v>0</v>
      </c>
      <c r="D75">
        <v>17597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44</v>
      </c>
      <c r="W75" s="22">
        <f t="shared" si="3"/>
        <v>17598</v>
      </c>
      <c r="X75" t="str">
        <f t="shared" si="4"/>
        <v>D</v>
      </c>
      <c r="Y75" s="23">
        <f t="shared" si="5"/>
        <v>0.99994317536083643</v>
      </c>
      <c r="AA75" s="23"/>
    </row>
    <row r="76" spans="1:27">
      <c r="A76">
        <v>71</v>
      </c>
      <c r="B76">
        <v>0</v>
      </c>
      <c r="C76">
        <v>0</v>
      </c>
      <c r="D76">
        <v>0</v>
      </c>
      <c r="E76">
        <v>0</v>
      </c>
      <c r="F76">
        <v>0</v>
      </c>
      <c r="G76">
        <v>17597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44</v>
      </c>
      <c r="W76" s="22">
        <f t="shared" si="3"/>
        <v>17597</v>
      </c>
      <c r="X76" t="str">
        <f t="shared" si="4"/>
        <v>G</v>
      </c>
      <c r="Y76" s="23">
        <f t="shared" si="5"/>
        <v>1</v>
      </c>
      <c r="AA76" s="23"/>
    </row>
    <row r="77" spans="1:27">
      <c r="A77">
        <v>72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17597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44</v>
      </c>
      <c r="W77" s="22">
        <f t="shared" si="3"/>
        <v>17598</v>
      </c>
      <c r="X77" t="str">
        <f t="shared" si="4"/>
        <v>P</v>
      </c>
      <c r="Y77" s="23">
        <f t="shared" si="5"/>
        <v>0.99994317536083643</v>
      </c>
      <c r="AA77" s="23"/>
    </row>
    <row r="78" spans="1:27">
      <c r="A78">
        <v>73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17595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44</v>
      </c>
      <c r="W78" s="22">
        <f t="shared" si="3"/>
        <v>17596</v>
      </c>
      <c r="X78" t="str">
        <f t="shared" si="4"/>
        <v>L</v>
      </c>
      <c r="Y78" s="23">
        <f t="shared" si="5"/>
        <v>0.99994316890202317</v>
      </c>
      <c r="AA78" s="23"/>
    </row>
    <row r="79" spans="1:27">
      <c r="A79">
        <v>74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17597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44</v>
      </c>
      <c r="W79" s="22">
        <f t="shared" si="3"/>
        <v>17598</v>
      </c>
      <c r="X79" t="str">
        <f t="shared" si="4"/>
        <v>P</v>
      </c>
      <c r="Y79" s="23">
        <f t="shared" si="5"/>
        <v>0.99994317536083643</v>
      </c>
      <c r="AA79" s="23"/>
    </row>
    <row r="80" spans="1:27">
      <c r="A80">
        <v>75</v>
      </c>
      <c r="B80">
        <v>0</v>
      </c>
      <c r="C80">
        <v>0</v>
      </c>
      <c r="D80">
        <v>0</v>
      </c>
      <c r="E80">
        <v>17584</v>
      </c>
      <c r="F80">
        <v>0</v>
      </c>
      <c r="G80">
        <v>7</v>
      </c>
      <c r="H80">
        <v>0</v>
      </c>
      <c r="I80">
        <v>0</v>
      </c>
      <c r="J80">
        <v>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44</v>
      </c>
      <c r="W80" s="22">
        <f t="shared" si="3"/>
        <v>17598</v>
      </c>
      <c r="X80" t="str">
        <f t="shared" si="4"/>
        <v>E</v>
      </c>
      <c r="Y80" s="23">
        <f t="shared" si="5"/>
        <v>0.99920445505171041</v>
      </c>
      <c r="AA80" s="23"/>
    </row>
    <row r="81" spans="1:27">
      <c r="A81">
        <v>76</v>
      </c>
      <c r="B81">
        <v>0</v>
      </c>
      <c r="C81">
        <v>0</v>
      </c>
      <c r="D81">
        <v>17579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  <c r="K81">
        <v>0</v>
      </c>
      <c r="L81">
        <v>0</v>
      </c>
      <c r="M81">
        <v>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45</v>
      </c>
      <c r="W81" s="22">
        <f t="shared" si="3"/>
        <v>17594</v>
      </c>
      <c r="X81" t="str">
        <f t="shared" si="4"/>
        <v>D</v>
      </c>
      <c r="Y81" s="23">
        <f t="shared" si="5"/>
        <v>0.99914743662612249</v>
      </c>
      <c r="AA81" s="23"/>
    </row>
    <row r="82" spans="1:27">
      <c r="A82">
        <v>77</v>
      </c>
      <c r="B82">
        <v>0</v>
      </c>
      <c r="C82">
        <v>0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17591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44</v>
      </c>
      <c r="W82" s="22">
        <f t="shared" si="3"/>
        <v>17594</v>
      </c>
      <c r="X82" t="str">
        <f t="shared" si="4"/>
        <v>N</v>
      </c>
      <c r="Y82" s="23">
        <f t="shared" si="5"/>
        <v>0.99982948732522448</v>
      </c>
      <c r="AA82" s="23"/>
    </row>
    <row r="83" spans="1:27">
      <c r="A83">
        <v>78</v>
      </c>
      <c r="B83">
        <v>0</v>
      </c>
      <c r="C83">
        <v>0</v>
      </c>
      <c r="D83">
        <v>2</v>
      </c>
      <c r="E83">
        <v>17593</v>
      </c>
      <c r="F83">
        <v>0</v>
      </c>
      <c r="G83">
        <v>0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45</v>
      </c>
      <c r="W83" s="22">
        <f t="shared" si="3"/>
        <v>17599</v>
      </c>
      <c r="X83" t="str">
        <f t="shared" si="4"/>
        <v>E</v>
      </c>
      <c r="Y83" s="23">
        <f t="shared" si="5"/>
        <v>0.99965907153815559</v>
      </c>
      <c r="AA83" s="23"/>
    </row>
    <row r="84" spans="1:27">
      <c r="A84">
        <v>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17597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45</v>
      </c>
      <c r="W84" s="22">
        <f t="shared" si="3"/>
        <v>17597</v>
      </c>
      <c r="X84" t="str">
        <f t="shared" si="4"/>
        <v>P</v>
      </c>
      <c r="Y84" s="23">
        <f t="shared" si="5"/>
        <v>1</v>
      </c>
      <c r="AA84" s="23"/>
    </row>
    <row r="85" spans="1:27">
      <c r="A85">
        <v>80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17591</v>
      </c>
      <c r="R85">
        <v>0</v>
      </c>
      <c r="S85">
        <v>0</v>
      </c>
      <c r="T85">
        <v>0</v>
      </c>
      <c r="U85">
        <v>0</v>
      </c>
      <c r="V85">
        <v>45</v>
      </c>
      <c r="W85" s="22">
        <f t="shared" si="3"/>
        <v>17598</v>
      </c>
      <c r="X85" t="str">
        <f t="shared" si="4"/>
        <v>S</v>
      </c>
      <c r="Y85" s="23">
        <f t="shared" si="5"/>
        <v>0.99960222752585526</v>
      </c>
      <c r="AA85" s="23"/>
    </row>
    <row r="86" spans="1:27">
      <c r="A86">
        <v>81</v>
      </c>
      <c r="B86">
        <v>0</v>
      </c>
      <c r="C86">
        <v>0</v>
      </c>
      <c r="D86">
        <v>0</v>
      </c>
      <c r="E86">
        <v>0</v>
      </c>
      <c r="F86">
        <v>0</v>
      </c>
      <c r="G86">
        <v>17596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45</v>
      </c>
      <c r="W86" s="22">
        <f t="shared" si="3"/>
        <v>17596</v>
      </c>
      <c r="X86" t="str">
        <f t="shared" si="4"/>
        <v>G</v>
      </c>
      <c r="Y86" s="23">
        <f t="shared" si="5"/>
        <v>1</v>
      </c>
      <c r="AA86" s="23"/>
    </row>
    <row r="87" spans="1:27">
      <c r="A87">
        <v>82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17598</v>
      </c>
      <c r="V87">
        <v>45</v>
      </c>
      <c r="W87" s="22">
        <f t="shared" si="3"/>
        <v>17599</v>
      </c>
      <c r="X87" t="str">
        <f t="shared" si="4"/>
        <v>Y</v>
      </c>
      <c r="Y87" s="23">
        <f t="shared" si="5"/>
        <v>0.99994317858969262</v>
      </c>
      <c r="AA87" s="23"/>
    </row>
    <row r="88" spans="1:27">
      <c r="A88">
        <v>83</v>
      </c>
      <c r="B88">
        <v>17592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5</v>
      </c>
      <c r="R88">
        <v>0</v>
      </c>
      <c r="S88">
        <v>0</v>
      </c>
      <c r="T88">
        <v>0</v>
      </c>
      <c r="U88">
        <v>0</v>
      </c>
      <c r="V88">
        <v>45</v>
      </c>
      <c r="W88" s="22">
        <f t="shared" si="3"/>
        <v>17597</v>
      </c>
      <c r="X88" t="str">
        <f t="shared" si="4"/>
        <v>A</v>
      </c>
      <c r="Y88" s="23">
        <f t="shared" si="5"/>
        <v>0.99971586065806672</v>
      </c>
      <c r="AA88" s="23"/>
    </row>
    <row r="89" spans="1:27">
      <c r="A89">
        <v>84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17597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45</v>
      </c>
      <c r="W89" s="22">
        <f t="shared" si="3"/>
        <v>17597</v>
      </c>
      <c r="X89" t="str">
        <f t="shared" si="4"/>
        <v>Q</v>
      </c>
      <c r="Y89" s="23">
        <f t="shared" si="5"/>
        <v>1</v>
      </c>
      <c r="AA89" s="23"/>
    </row>
    <row r="90" spans="1:27">
      <c r="A90">
        <v>85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17599</v>
      </c>
      <c r="S90">
        <v>0</v>
      </c>
      <c r="T90">
        <v>0</v>
      </c>
      <c r="U90">
        <v>0</v>
      </c>
      <c r="V90">
        <v>45</v>
      </c>
      <c r="W90" s="22">
        <f t="shared" si="3"/>
        <v>17599</v>
      </c>
      <c r="X90" t="str">
        <f t="shared" si="4"/>
        <v>T</v>
      </c>
      <c r="Y90" s="23">
        <f t="shared" si="5"/>
        <v>1</v>
      </c>
      <c r="AA90" s="23"/>
    </row>
    <row r="91" spans="1:27">
      <c r="A91">
        <v>86</v>
      </c>
      <c r="B91">
        <v>0</v>
      </c>
      <c r="C91">
        <v>0</v>
      </c>
      <c r="D91">
        <v>17596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45</v>
      </c>
      <c r="W91" s="22">
        <f t="shared" si="3"/>
        <v>17596</v>
      </c>
      <c r="X91" t="str">
        <f t="shared" si="4"/>
        <v>D</v>
      </c>
      <c r="Y91" s="23">
        <f t="shared" si="5"/>
        <v>1</v>
      </c>
      <c r="AA91" s="23"/>
    </row>
    <row r="92" spans="1:27">
      <c r="A92">
        <v>87</v>
      </c>
      <c r="B92">
        <v>0</v>
      </c>
      <c r="C92">
        <v>17598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45</v>
      </c>
      <c r="W92" s="22">
        <f t="shared" si="3"/>
        <v>17598</v>
      </c>
      <c r="X92" t="str">
        <f t="shared" si="4"/>
        <v>C</v>
      </c>
      <c r="Y92" s="23">
        <f t="shared" si="5"/>
        <v>1</v>
      </c>
      <c r="AA92" s="23"/>
    </row>
    <row r="93" spans="1:27">
      <c r="A93">
        <v>88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17597</v>
      </c>
      <c r="T93">
        <v>0</v>
      </c>
      <c r="U93">
        <v>0</v>
      </c>
      <c r="V93">
        <v>45</v>
      </c>
      <c r="W93" s="22">
        <f t="shared" si="3"/>
        <v>17597</v>
      </c>
      <c r="X93" t="str">
        <f t="shared" si="4"/>
        <v>V</v>
      </c>
      <c r="Y93" s="23">
        <f t="shared" si="5"/>
        <v>1</v>
      </c>
      <c r="AA93" s="23"/>
    </row>
    <row r="94" spans="1:27">
      <c r="A94">
        <v>89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  <c r="J94">
        <v>0</v>
      </c>
      <c r="K94">
        <v>17595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45</v>
      </c>
      <c r="W94" s="22">
        <f t="shared" si="3"/>
        <v>17599</v>
      </c>
      <c r="X94" t="str">
        <f t="shared" si="4"/>
        <v>L</v>
      </c>
      <c r="Y94" s="23">
        <f t="shared" si="5"/>
        <v>0.99977271435877035</v>
      </c>
      <c r="AA94" s="23"/>
    </row>
    <row r="95" spans="1:27">
      <c r="A95">
        <v>90</v>
      </c>
      <c r="B95">
        <v>0</v>
      </c>
      <c r="C95">
        <v>0</v>
      </c>
      <c r="D95">
        <v>0</v>
      </c>
      <c r="E95">
        <v>17598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45</v>
      </c>
      <c r="W95" s="22">
        <f t="shared" si="3"/>
        <v>17598</v>
      </c>
      <c r="X95" t="str">
        <f t="shared" si="4"/>
        <v>E</v>
      </c>
      <c r="Y95" s="23">
        <f t="shared" si="5"/>
        <v>1</v>
      </c>
      <c r="AA95" s="23"/>
    </row>
    <row r="96" spans="1:27">
      <c r="A96">
        <v>91</v>
      </c>
      <c r="B96">
        <v>17590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2</v>
      </c>
      <c r="S96">
        <v>0</v>
      </c>
      <c r="T96">
        <v>0</v>
      </c>
      <c r="U96">
        <v>0</v>
      </c>
      <c r="V96">
        <v>45</v>
      </c>
      <c r="W96" s="22">
        <f t="shared" si="3"/>
        <v>17593</v>
      </c>
      <c r="X96" t="str">
        <f t="shared" si="4"/>
        <v>A</v>
      </c>
      <c r="Y96" s="23">
        <f t="shared" si="5"/>
        <v>0.99982947763314955</v>
      </c>
      <c r="AA96" s="23"/>
    </row>
    <row r="97" spans="1:27">
      <c r="A97">
        <v>92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17</v>
      </c>
      <c r="J97">
        <v>0</v>
      </c>
      <c r="K97">
        <v>0</v>
      </c>
      <c r="L97">
        <v>17578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45</v>
      </c>
      <c r="W97" s="22">
        <f t="shared" si="3"/>
        <v>17597</v>
      </c>
      <c r="X97" t="str">
        <f t="shared" si="4"/>
        <v>M</v>
      </c>
      <c r="Y97" s="23">
        <f t="shared" si="5"/>
        <v>0.99892027050065357</v>
      </c>
      <c r="AA97" s="23"/>
    </row>
    <row r="98" spans="1:27">
      <c r="A98">
        <v>93</v>
      </c>
      <c r="B98">
        <v>17587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8</v>
      </c>
      <c r="T98">
        <v>0</v>
      </c>
      <c r="U98">
        <v>0</v>
      </c>
      <c r="V98">
        <v>45</v>
      </c>
      <c r="W98" s="22">
        <f t="shared" si="3"/>
        <v>17597</v>
      </c>
      <c r="X98" t="str">
        <f t="shared" si="4"/>
        <v>A</v>
      </c>
      <c r="Y98" s="23">
        <f t="shared" si="5"/>
        <v>0.99943172131613345</v>
      </c>
      <c r="AA98" s="23"/>
    </row>
    <row r="99" spans="1:27">
      <c r="A99">
        <v>94</v>
      </c>
      <c r="B99">
        <v>0</v>
      </c>
      <c r="C99">
        <v>2</v>
      </c>
      <c r="D99">
        <v>0</v>
      </c>
      <c r="E99">
        <v>0</v>
      </c>
      <c r="F99">
        <v>17548</v>
      </c>
      <c r="G99">
        <v>0</v>
      </c>
      <c r="H99">
        <v>0</v>
      </c>
      <c r="I99">
        <v>0</v>
      </c>
      <c r="J99">
        <v>0</v>
      </c>
      <c r="K99">
        <v>37</v>
      </c>
      <c r="L99">
        <v>0</v>
      </c>
      <c r="M99">
        <v>0</v>
      </c>
      <c r="N99">
        <v>0</v>
      </c>
      <c r="O99">
        <v>0</v>
      </c>
      <c r="P99">
        <v>0</v>
      </c>
      <c r="Q99">
        <v>6</v>
      </c>
      <c r="R99">
        <v>0</v>
      </c>
      <c r="S99">
        <v>2</v>
      </c>
      <c r="T99">
        <v>0</v>
      </c>
      <c r="U99">
        <v>0</v>
      </c>
      <c r="V99">
        <v>45</v>
      </c>
      <c r="W99" s="22">
        <f t="shared" si="3"/>
        <v>17595</v>
      </c>
      <c r="X99" t="str">
        <f t="shared" si="4"/>
        <v>F</v>
      </c>
      <c r="Y99" s="23">
        <f t="shared" si="5"/>
        <v>0.99732878658709856</v>
      </c>
      <c r="AA99" s="23"/>
    </row>
    <row r="100" spans="1:27">
      <c r="A100">
        <v>95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17596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46</v>
      </c>
      <c r="W100" s="22">
        <f t="shared" si="3"/>
        <v>17596</v>
      </c>
      <c r="X100" t="str">
        <f t="shared" si="4"/>
        <v>L</v>
      </c>
      <c r="Y100" s="23">
        <f t="shared" si="5"/>
        <v>1</v>
      </c>
      <c r="AA100" s="23"/>
    </row>
    <row r="101" spans="1:27">
      <c r="A101">
        <v>96</v>
      </c>
      <c r="B101">
        <v>1</v>
      </c>
      <c r="C101">
        <v>0</v>
      </c>
      <c r="D101">
        <v>4</v>
      </c>
      <c r="E101">
        <v>17585</v>
      </c>
      <c r="F101">
        <v>0</v>
      </c>
      <c r="G101">
        <v>3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46</v>
      </c>
      <c r="W101" s="22">
        <f t="shared" si="3"/>
        <v>17594</v>
      </c>
      <c r="X101" t="str">
        <f t="shared" si="4"/>
        <v>E</v>
      </c>
      <c r="Y101" s="23">
        <f t="shared" si="5"/>
        <v>0.99948846197567354</v>
      </c>
      <c r="AA101" s="23"/>
    </row>
    <row r="102" spans="1:27">
      <c r="A102">
        <v>97</v>
      </c>
      <c r="B102">
        <v>0</v>
      </c>
      <c r="C102">
        <v>0</v>
      </c>
      <c r="D102">
        <v>6</v>
      </c>
      <c r="E102">
        <v>17563</v>
      </c>
      <c r="F102">
        <v>0</v>
      </c>
      <c r="G102">
        <v>1</v>
      </c>
      <c r="H102">
        <v>0</v>
      </c>
      <c r="I102">
        <v>0</v>
      </c>
      <c r="J102">
        <v>19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46</v>
      </c>
      <c r="W102" s="22">
        <f t="shared" si="3"/>
        <v>17589</v>
      </c>
      <c r="X102" t="str">
        <f t="shared" si="4"/>
        <v>E</v>
      </c>
      <c r="Y102" s="23">
        <f t="shared" si="5"/>
        <v>0.99852180339985219</v>
      </c>
      <c r="AA102" s="23"/>
    </row>
    <row r="103" spans="1:27">
      <c r="A103">
        <v>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17586</v>
      </c>
      <c r="R103">
        <v>8</v>
      </c>
      <c r="S103">
        <v>0</v>
      </c>
      <c r="T103">
        <v>0</v>
      </c>
      <c r="U103">
        <v>0</v>
      </c>
      <c r="V103">
        <v>46</v>
      </c>
      <c r="W103" s="22">
        <f t="shared" si="3"/>
        <v>17594</v>
      </c>
      <c r="X103" t="str">
        <f t="shared" si="4"/>
        <v>S</v>
      </c>
      <c r="Y103" s="23">
        <f t="shared" si="5"/>
        <v>0.99954529953393201</v>
      </c>
      <c r="AA103" s="23"/>
    </row>
    <row r="104" spans="1:27">
      <c r="A104">
        <v>99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17593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46</v>
      </c>
      <c r="W104" s="22">
        <f t="shared" si="3"/>
        <v>17593</v>
      </c>
      <c r="X104" t="str">
        <f t="shared" si="4"/>
        <v>H</v>
      </c>
      <c r="Y104" s="23">
        <f t="shared" si="5"/>
        <v>1</v>
      </c>
      <c r="AA104" s="23"/>
    </row>
    <row r="105" spans="1:27">
      <c r="A105">
        <v>100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17594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46</v>
      </c>
      <c r="W105" s="22">
        <f t="shared" si="3"/>
        <v>17595</v>
      </c>
      <c r="X105" t="str">
        <f t="shared" si="4"/>
        <v>P</v>
      </c>
      <c r="Y105" s="23">
        <f t="shared" si="5"/>
        <v>0.99994316567206598</v>
      </c>
      <c r="AA105" s="23"/>
    </row>
    <row r="106" spans="1:27">
      <c r="A106">
        <v>101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17591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46</v>
      </c>
      <c r="W106" s="22">
        <f t="shared" si="3"/>
        <v>17595</v>
      </c>
      <c r="X106" t="str">
        <f t="shared" si="4"/>
        <v>G</v>
      </c>
      <c r="Y106" s="23">
        <f t="shared" si="5"/>
        <v>0.9997726626882637</v>
      </c>
      <c r="AA106" s="23"/>
    </row>
    <row r="107" spans="1:27">
      <c r="A107">
        <v>102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17585</v>
      </c>
      <c r="J107">
        <v>0</v>
      </c>
      <c r="K107">
        <v>1</v>
      </c>
      <c r="L107">
        <v>10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46</v>
      </c>
      <c r="W107" s="22">
        <f t="shared" si="3"/>
        <v>17598</v>
      </c>
      <c r="X107" t="str">
        <f t="shared" si="4"/>
        <v>I</v>
      </c>
      <c r="Y107" s="23">
        <f t="shared" si="5"/>
        <v>0.99926127969087397</v>
      </c>
      <c r="AA107" s="23"/>
    </row>
    <row r="108" spans="1:27">
      <c r="A108">
        <v>103</v>
      </c>
      <c r="B108">
        <v>0</v>
      </c>
      <c r="C108">
        <v>0</v>
      </c>
      <c r="D108">
        <v>0</v>
      </c>
      <c r="E108">
        <v>0</v>
      </c>
      <c r="F108">
        <v>17587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6</v>
      </c>
      <c r="V108">
        <v>45</v>
      </c>
      <c r="W108" s="22">
        <f t="shared" si="3"/>
        <v>17593</v>
      </c>
      <c r="X108" t="str">
        <f t="shared" si="4"/>
        <v>F</v>
      </c>
      <c r="Y108" s="23">
        <f t="shared" si="5"/>
        <v>0.99965895526629911</v>
      </c>
      <c r="AA108" s="23"/>
    </row>
    <row r="109" spans="1:27">
      <c r="A109">
        <v>104</v>
      </c>
      <c r="B109">
        <v>0</v>
      </c>
      <c r="C109">
        <v>0</v>
      </c>
      <c r="D109">
        <v>2</v>
      </c>
      <c r="E109">
        <v>17586</v>
      </c>
      <c r="F109">
        <v>0</v>
      </c>
      <c r="G109">
        <v>4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45</v>
      </c>
      <c r="W109" s="22">
        <f t="shared" si="3"/>
        <v>17596</v>
      </c>
      <c r="X109" t="str">
        <f t="shared" si="4"/>
        <v>E</v>
      </c>
      <c r="Y109" s="23">
        <f t="shared" si="5"/>
        <v>0.99943168902023183</v>
      </c>
      <c r="AA109" s="23"/>
    </row>
    <row r="110" spans="1:27">
      <c r="A110">
        <v>105</v>
      </c>
      <c r="B110">
        <v>0</v>
      </c>
      <c r="C110">
        <v>0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17573</v>
      </c>
      <c r="N110">
        <v>0</v>
      </c>
      <c r="O110">
        <v>0</v>
      </c>
      <c r="P110">
        <v>0</v>
      </c>
      <c r="Q110">
        <v>15</v>
      </c>
      <c r="R110">
        <v>6</v>
      </c>
      <c r="S110">
        <v>0</v>
      </c>
      <c r="T110">
        <v>0</v>
      </c>
      <c r="U110">
        <v>0</v>
      </c>
      <c r="V110">
        <v>45</v>
      </c>
      <c r="W110" s="22">
        <f t="shared" si="3"/>
        <v>17599</v>
      </c>
      <c r="X110" t="str">
        <f t="shared" si="4"/>
        <v>N</v>
      </c>
      <c r="Y110" s="23">
        <f t="shared" si="5"/>
        <v>0.99852264333200746</v>
      </c>
      <c r="AA110" s="23"/>
    </row>
    <row r="111" spans="1:27">
      <c r="A111">
        <v>106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17594</v>
      </c>
      <c r="R111">
        <v>0</v>
      </c>
      <c r="S111">
        <v>0</v>
      </c>
      <c r="T111">
        <v>0</v>
      </c>
      <c r="U111">
        <v>0</v>
      </c>
      <c r="V111">
        <v>45</v>
      </c>
      <c r="W111" s="22">
        <f t="shared" si="3"/>
        <v>17596</v>
      </c>
      <c r="X111" t="str">
        <f t="shared" si="4"/>
        <v>S</v>
      </c>
      <c r="Y111" s="23">
        <f t="shared" si="5"/>
        <v>0.99988633780404634</v>
      </c>
      <c r="AA111" s="23"/>
    </row>
    <row r="112" spans="1:27">
      <c r="A112">
        <v>107</v>
      </c>
      <c r="B112">
        <v>0</v>
      </c>
      <c r="C112">
        <v>17597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46</v>
      </c>
      <c r="W112" s="22">
        <f t="shared" si="3"/>
        <v>17597</v>
      </c>
      <c r="X112" t="str">
        <f t="shared" si="4"/>
        <v>C</v>
      </c>
      <c r="Y112" s="23">
        <f t="shared" si="5"/>
        <v>1</v>
      </c>
      <c r="AA112" s="23"/>
    </row>
    <row r="113" spans="1:30">
      <c r="A113">
        <v>108</v>
      </c>
      <c r="B113">
        <v>0</v>
      </c>
      <c r="C113">
        <v>0</v>
      </c>
      <c r="D113">
        <v>0</v>
      </c>
      <c r="E113">
        <v>0</v>
      </c>
      <c r="F113">
        <v>14</v>
      </c>
      <c r="G113">
        <v>0</v>
      </c>
      <c r="H113">
        <v>1</v>
      </c>
      <c r="I113">
        <v>8</v>
      </c>
      <c r="J113">
        <v>0</v>
      </c>
      <c r="K113">
        <v>17574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46</v>
      </c>
      <c r="W113" s="22">
        <f t="shared" si="3"/>
        <v>17598</v>
      </c>
      <c r="X113" t="str">
        <f t="shared" si="4"/>
        <v>L</v>
      </c>
      <c r="Y113" s="23">
        <f t="shared" si="5"/>
        <v>0.99863620866007496</v>
      </c>
      <c r="AA113" s="23"/>
    </row>
    <row r="114" spans="1:30">
      <c r="A114">
        <v>109</v>
      </c>
      <c r="B114">
        <v>0</v>
      </c>
      <c r="C114">
        <v>0</v>
      </c>
      <c r="D114">
        <v>0</v>
      </c>
      <c r="E114">
        <v>17597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46</v>
      </c>
      <c r="W114" s="22">
        <f t="shared" si="3"/>
        <v>17597</v>
      </c>
      <c r="X114" t="str">
        <f t="shared" si="4"/>
        <v>E</v>
      </c>
      <c r="Y114" s="23">
        <f t="shared" si="5"/>
        <v>1</v>
      </c>
      <c r="AA114" s="23"/>
    </row>
    <row r="115" spans="1:30">
      <c r="A115">
        <v>110</v>
      </c>
      <c r="B115">
        <v>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17592</v>
      </c>
      <c r="S115">
        <v>0</v>
      </c>
      <c r="T115">
        <v>0</v>
      </c>
      <c r="U115">
        <v>0</v>
      </c>
      <c r="V115">
        <v>45</v>
      </c>
      <c r="W115" s="22">
        <f t="shared" si="3"/>
        <v>17598</v>
      </c>
      <c r="X115" t="str">
        <f t="shared" si="4"/>
        <v>T</v>
      </c>
      <c r="Y115" s="23">
        <f t="shared" si="5"/>
        <v>0.99965905216501871</v>
      </c>
      <c r="AA115" s="23"/>
    </row>
    <row r="116" spans="1:30">
      <c r="A116">
        <v>111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38</v>
      </c>
      <c r="J116">
        <v>0</v>
      </c>
      <c r="K116">
        <v>7</v>
      </c>
      <c r="L116">
        <v>17547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</v>
      </c>
      <c r="T116">
        <v>0</v>
      </c>
      <c r="U116">
        <v>0</v>
      </c>
      <c r="V116">
        <v>45</v>
      </c>
      <c r="W116" s="22">
        <f t="shared" si="3"/>
        <v>17595</v>
      </c>
      <c r="X116" t="str">
        <f t="shared" si="4"/>
        <v>M</v>
      </c>
      <c r="Y116" s="23">
        <f t="shared" si="5"/>
        <v>0.99727195225916454</v>
      </c>
      <c r="AA116" s="23"/>
    </row>
    <row r="117" spans="1:30">
      <c r="A117">
        <v>112</v>
      </c>
      <c r="B117">
        <v>0</v>
      </c>
      <c r="C117">
        <v>0</v>
      </c>
      <c r="D117">
        <v>5</v>
      </c>
      <c r="E117">
        <v>17592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45</v>
      </c>
      <c r="W117" s="22">
        <f t="shared" si="3"/>
        <v>17598</v>
      </c>
      <c r="X117" t="str">
        <f t="shared" si="4"/>
        <v>E</v>
      </c>
      <c r="Y117" s="23">
        <f t="shared" si="5"/>
        <v>0.99965905216501871</v>
      </c>
      <c r="AA117" s="23"/>
    </row>
    <row r="118" spans="1:30">
      <c r="A118" s="24">
        <v>113</v>
      </c>
      <c r="B118" s="24">
        <v>53</v>
      </c>
      <c r="C118" s="24">
        <v>0</v>
      </c>
      <c r="D118" s="24">
        <v>0</v>
      </c>
      <c r="E118" s="24">
        <v>0</v>
      </c>
      <c r="F118" s="24">
        <v>14</v>
      </c>
      <c r="G118" s="24">
        <v>0</v>
      </c>
      <c r="H118" s="24">
        <v>0</v>
      </c>
      <c r="I118" s="24">
        <v>147</v>
      </c>
      <c r="J118" s="24">
        <v>0</v>
      </c>
      <c r="K118" s="24">
        <v>1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17380</v>
      </c>
      <c r="T118" s="24">
        <v>0</v>
      </c>
      <c r="U118" s="24">
        <v>0</v>
      </c>
      <c r="V118" s="24">
        <v>45</v>
      </c>
      <c r="W118" s="24">
        <f t="shared" si="3"/>
        <v>17595</v>
      </c>
      <c r="X118" s="24" t="str">
        <f t="shared" si="4"/>
        <v>V</v>
      </c>
      <c r="Y118" s="25">
        <f t="shared" si="5"/>
        <v>0.98778061949417451</v>
      </c>
      <c r="Z118" s="24"/>
      <c r="AA118" s="25">
        <f>I118/W118</f>
        <v>8.3546462063086111E-3</v>
      </c>
      <c r="AB118" s="24"/>
      <c r="AC118" s="24"/>
      <c r="AD118" s="24"/>
    </row>
    <row r="119" spans="1:30">
      <c r="A119">
        <v>114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17579</v>
      </c>
      <c r="T119">
        <v>0</v>
      </c>
      <c r="U119">
        <v>0</v>
      </c>
      <c r="V119">
        <v>45</v>
      </c>
      <c r="W119" s="22">
        <f t="shared" si="3"/>
        <v>17594</v>
      </c>
      <c r="X119" t="str">
        <f t="shared" si="4"/>
        <v>V</v>
      </c>
      <c r="Y119" s="23">
        <f t="shared" si="5"/>
        <v>0.99914743662612249</v>
      </c>
      <c r="AA119" s="23"/>
    </row>
    <row r="120" spans="1:30">
      <c r="A120">
        <v>115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17595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46</v>
      </c>
      <c r="W120" s="22">
        <f t="shared" si="3"/>
        <v>17595</v>
      </c>
      <c r="X120" t="str">
        <f t="shared" si="4"/>
        <v>Q</v>
      </c>
      <c r="Y120" s="23">
        <f t="shared" si="5"/>
        <v>1</v>
      </c>
      <c r="AA120" s="23"/>
    </row>
    <row r="121" spans="1:30">
      <c r="A121">
        <v>116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17591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46</v>
      </c>
      <c r="W121" s="22">
        <f t="shared" si="3"/>
        <v>17594</v>
      </c>
      <c r="X121" t="str">
        <f t="shared" si="4"/>
        <v>Q</v>
      </c>
      <c r="Y121" s="23">
        <f t="shared" si="5"/>
        <v>0.99982948732522448</v>
      </c>
      <c r="AA121" s="23"/>
    </row>
    <row r="122" spans="1:30">
      <c r="A122">
        <v>117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17594</v>
      </c>
      <c r="S122">
        <v>0</v>
      </c>
      <c r="T122">
        <v>0</v>
      </c>
      <c r="U122">
        <v>0</v>
      </c>
      <c r="V122">
        <v>46</v>
      </c>
      <c r="W122" s="22">
        <f t="shared" si="3"/>
        <v>17595</v>
      </c>
      <c r="X122" t="str">
        <f t="shared" si="4"/>
        <v>T</v>
      </c>
      <c r="Y122" s="23">
        <f t="shared" si="5"/>
        <v>0.99994316567206598</v>
      </c>
      <c r="AA122" s="23"/>
    </row>
    <row r="123" spans="1:30">
      <c r="A123">
        <v>118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17592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46</v>
      </c>
      <c r="W123" s="22">
        <f t="shared" si="3"/>
        <v>17592</v>
      </c>
      <c r="X123" t="str">
        <f t="shared" si="4"/>
        <v>R</v>
      </c>
      <c r="Y123" s="23">
        <f t="shared" si="5"/>
        <v>1</v>
      </c>
      <c r="AA123" s="23"/>
    </row>
    <row r="124" spans="1:30">
      <c r="A124">
        <v>119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22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17572</v>
      </c>
      <c r="T124">
        <v>0</v>
      </c>
      <c r="U124">
        <v>0</v>
      </c>
      <c r="V124">
        <v>46</v>
      </c>
      <c r="W124" s="22">
        <f t="shared" si="3"/>
        <v>17596</v>
      </c>
      <c r="X124" t="str">
        <f t="shared" si="4"/>
        <v>V</v>
      </c>
      <c r="Y124" s="23">
        <f t="shared" si="5"/>
        <v>0.99863605364855645</v>
      </c>
      <c r="AA124" s="23"/>
    </row>
    <row r="125" spans="1:30">
      <c r="A125">
        <v>120</v>
      </c>
      <c r="B125">
        <v>0</v>
      </c>
      <c r="C125">
        <v>0</v>
      </c>
      <c r="D125">
        <v>17595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46</v>
      </c>
      <c r="W125" s="22">
        <f t="shared" si="3"/>
        <v>17595</v>
      </c>
      <c r="X125" t="str">
        <f t="shared" si="4"/>
        <v>D</v>
      </c>
      <c r="Y125" s="23">
        <f t="shared" si="5"/>
        <v>1</v>
      </c>
      <c r="AA125" s="23"/>
    </row>
    <row r="126" spans="1:30">
      <c r="A126">
        <v>121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17592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47</v>
      </c>
      <c r="W126" s="22">
        <f t="shared" si="3"/>
        <v>17596</v>
      </c>
      <c r="X126" t="str">
        <f t="shared" si="4"/>
        <v>K</v>
      </c>
      <c r="Y126" s="23">
        <f t="shared" si="5"/>
        <v>0.9997726756080928</v>
      </c>
      <c r="AA126" s="23"/>
    </row>
    <row r="127" spans="1:30">
      <c r="A127">
        <v>122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17590</v>
      </c>
      <c r="L127">
        <v>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47</v>
      </c>
      <c r="W127" s="22">
        <f t="shared" si="3"/>
        <v>17594</v>
      </c>
      <c r="X127" t="str">
        <f t="shared" si="4"/>
        <v>L</v>
      </c>
      <c r="Y127" s="23">
        <f t="shared" si="5"/>
        <v>0.999772649766966</v>
      </c>
      <c r="AA127" s="23"/>
    </row>
    <row r="128" spans="1:30">
      <c r="A128">
        <v>123</v>
      </c>
      <c r="B128">
        <v>16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17575</v>
      </c>
      <c r="S128">
        <v>0</v>
      </c>
      <c r="T128">
        <v>0</v>
      </c>
      <c r="U128">
        <v>0</v>
      </c>
      <c r="V128">
        <v>47</v>
      </c>
      <c r="W128" s="22">
        <f t="shared" si="3"/>
        <v>17592</v>
      </c>
      <c r="X128" t="str">
        <f t="shared" si="4"/>
        <v>T</v>
      </c>
      <c r="Y128" s="23">
        <f t="shared" si="5"/>
        <v>0.99903365165984537</v>
      </c>
      <c r="AA128" s="23"/>
    </row>
    <row r="129" spans="1:27">
      <c r="A129">
        <v>124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17593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47</v>
      </c>
      <c r="W129" s="22">
        <f t="shared" si="3"/>
        <v>17596</v>
      </c>
      <c r="X129" t="str">
        <f t="shared" si="4"/>
        <v>Q</v>
      </c>
      <c r="Y129" s="23">
        <f t="shared" si="5"/>
        <v>0.99982950670606952</v>
      </c>
      <c r="AA129" s="23"/>
    </row>
    <row r="130" spans="1:27">
      <c r="A130">
        <v>125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17594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47</v>
      </c>
      <c r="W130" s="22">
        <f t="shared" si="3"/>
        <v>17594</v>
      </c>
      <c r="X130" t="str">
        <f t="shared" si="4"/>
        <v>G</v>
      </c>
      <c r="Y130" s="23">
        <f t="shared" si="5"/>
        <v>1</v>
      </c>
      <c r="AA130" s="23"/>
    </row>
    <row r="131" spans="1:27">
      <c r="A131">
        <v>126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5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17588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47</v>
      </c>
      <c r="W131" s="22">
        <f t="shared" si="3"/>
        <v>17595</v>
      </c>
      <c r="X131" t="str">
        <f t="shared" si="4"/>
        <v>R</v>
      </c>
      <c r="Y131" s="23">
        <f t="shared" si="5"/>
        <v>0.99960215970446153</v>
      </c>
      <c r="AA131" s="23"/>
    </row>
    <row r="132" spans="1:27">
      <c r="A132">
        <v>127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17596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47</v>
      </c>
      <c r="W132" s="22">
        <f t="shared" si="3"/>
        <v>17596</v>
      </c>
      <c r="X132" t="str">
        <f t="shared" si="4"/>
        <v>Q</v>
      </c>
      <c r="Y132" s="23">
        <f t="shared" si="5"/>
        <v>1</v>
      </c>
      <c r="AA132" s="23"/>
    </row>
    <row r="133" spans="1:27">
      <c r="A133">
        <v>128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17597</v>
      </c>
      <c r="S133">
        <v>0</v>
      </c>
      <c r="T133">
        <v>0</v>
      </c>
      <c r="U133">
        <v>0</v>
      </c>
      <c r="V133">
        <v>47</v>
      </c>
      <c r="W133" s="22">
        <f t="shared" si="3"/>
        <v>17597</v>
      </c>
      <c r="X133" t="str">
        <f t="shared" si="4"/>
        <v>T</v>
      </c>
      <c r="Y133" s="23">
        <f t="shared" si="5"/>
        <v>1</v>
      </c>
      <c r="AA133" s="23"/>
    </row>
    <row r="134" spans="1:27">
      <c r="A134">
        <v>129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17595</v>
      </c>
      <c r="V134">
        <v>47</v>
      </c>
      <c r="W134" s="22">
        <f t="shared" ref="W134:W197" si="6">SUM(B134:U134)</f>
        <v>17595</v>
      </c>
      <c r="X134" t="str">
        <f t="shared" ref="X134:X197" si="7">INDEX(($B$4:$U$4),MATCH(LARGE(B134:U134,1),B134:U134,0))</f>
        <v>Y</v>
      </c>
      <c r="Y134" s="23">
        <f t="shared" ref="Y134:Y197" si="8">(MAX(B134:U134))/W134</f>
        <v>1</v>
      </c>
      <c r="AA134" s="23"/>
    </row>
    <row r="135" spans="1:27">
      <c r="A135">
        <v>130</v>
      </c>
      <c r="B135">
        <v>0</v>
      </c>
      <c r="C135">
        <v>0</v>
      </c>
      <c r="D135">
        <v>17593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47</v>
      </c>
      <c r="W135" s="22">
        <f t="shared" si="6"/>
        <v>17593</v>
      </c>
      <c r="X135" t="str">
        <f t="shared" si="7"/>
        <v>D</v>
      </c>
      <c r="Y135" s="23">
        <f t="shared" si="8"/>
        <v>1</v>
      </c>
      <c r="AA135" s="23"/>
    </row>
    <row r="136" spans="1:27">
      <c r="A136">
        <v>131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17597</v>
      </c>
      <c r="U136">
        <v>0</v>
      </c>
      <c r="V136">
        <v>47</v>
      </c>
      <c r="W136" s="22">
        <f t="shared" si="6"/>
        <v>17597</v>
      </c>
      <c r="X136" t="str">
        <f t="shared" si="7"/>
        <v>W</v>
      </c>
      <c r="Y136" s="23">
        <f t="shared" si="8"/>
        <v>1</v>
      </c>
      <c r="AA136" s="23"/>
    </row>
    <row r="137" spans="1:27">
      <c r="A137">
        <v>132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17597</v>
      </c>
      <c r="S137">
        <v>0</v>
      </c>
      <c r="T137">
        <v>0</v>
      </c>
      <c r="U137">
        <v>0</v>
      </c>
      <c r="V137">
        <v>47</v>
      </c>
      <c r="W137" s="22">
        <f t="shared" si="6"/>
        <v>17597</v>
      </c>
      <c r="X137" t="str">
        <f t="shared" si="7"/>
        <v>T</v>
      </c>
      <c r="Y137" s="23">
        <f t="shared" si="8"/>
        <v>1</v>
      </c>
      <c r="AA137" s="23"/>
    </row>
    <row r="138" spans="1:27">
      <c r="A138">
        <v>133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17591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</v>
      </c>
      <c r="T138">
        <v>0</v>
      </c>
      <c r="U138">
        <v>0</v>
      </c>
      <c r="V138">
        <v>47</v>
      </c>
      <c r="W138" s="22">
        <f t="shared" si="6"/>
        <v>17595</v>
      </c>
      <c r="X138" t="str">
        <f t="shared" si="7"/>
        <v>L</v>
      </c>
      <c r="Y138" s="23">
        <f t="shared" si="8"/>
        <v>0.9997726626882637</v>
      </c>
      <c r="AA138" s="23"/>
    </row>
    <row r="139" spans="1:27">
      <c r="A139">
        <v>134</v>
      </c>
      <c r="B139">
        <v>0</v>
      </c>
      <c r="C139">
        <v>0</v>
      </c>
      <c r="D139">
        <v>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17587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47</v>
      </c>
      <c r="W139" s="22">
        <f t="shared" si="6"/>
        <v>17592</v>
      </c>
      <c r="X139" t="str">
        <f t="shared" si="7"/>
        <v>N</v>
      </c>
      <c r="Y139" s="23">
        <f t="shared" si="8"/>
        <v>0.99971577989995453</v>
      </c>
      <c r="AA139" s="23"/>
    </row>
    <row r="140" spans="1:27">
      <c r="A140">
        <v>135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17582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48</v>
      </c>
      <c r="W140" s="22">
        <f t="shared" si="6"/>
        <v>17591</v>
      </c>
      <c r="X140" t="str">
        <f t="shared" si="7"/>
        <v>R</v>
      </c>
      <c r="Y140" s="23">
        <f t="shared" si="8"/>
        <v>0.99948837473708141</v>
      </c>
      <c r="AA140" s="23"/>
    </row>
    <row r="141" spans="1:27">
      <c r="A141">
        <v>136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17589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48</v>
      </c>
      <c r="W141" s="22">
        <f t="shared" si="6"/>
        <v>17590</v>
      </c>
      <c r="X141" t="str">
        <f t="shared" si="7"/>
        <v>N</v>
      </c>
      <c r="Y141" s="23">
        <f t="shared" si="8"/>
        <v>0.99994314951677088</v>
      </c>
      <c r="AA141" s="23"/>
    </row>
    <row r="142" spans="1:27">
      <c r="A142">
        <v>137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17593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48</v>
      </c>
      <c r="W142" s="22">
        <f t="shared" si="6"/>
        <v>17593</v>
      </c>
      <c r="X142" t="str">
        <f t="shared" si="7"/>
        <v>Q</v>
      </c>
      <c r="Y142" s="23">
        <f t="shared" si="8"/>
        <v>1</v>
      </c>
      <c r="AA142" s="23"/>
    </row>
    <row r="143" spans="1:27">
      <c r="A143">
        <v>138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17589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48</v>
      </c>
      <c r="W143" s="22">
        <f t="shared" si="6"/>
        <v>17590</v>
      </c>
      <c r="X143" t="str">
        <f t="shared" si="7"/>
        <v>P</v>
      </c>
      <c r="Y143" s="23">
        <f t="shared" si="8"/>
        <v>0.99994314951677088</v>
      </c>
      <c r="AA143" s="23"/>
    </row>
    <row r="144" spans="1:27">
      <c r="A144">
        <v>139</v>
      </c>
      <c r="B144">
        <v>17594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48</v>
      </c>
      <c r="W144" s="22">
        <f t="shared" si="6"/>
        <v>17594</v>
      </c>
      <c r="X144" t="str">
        <f t="shared" si="7"/>
        <v>A</v>
      </c>
      <c r="Y144" s="23">
        <f t="shared" si="8"/>
        <v>1</v>
      </c>
      <c r="AA144" s="23"/>
    </row>
    <row r="145" spans="1:31">
      <c r="A145">
        <v>140</v>
      </c>
      <c r="B145">
        <v>17592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48</v>
      </c>
      <c r="W145" s="22">
        <f t="shared" si="6"/>
        <v>17592</v>
      </c>
      <c r="X145" t="str">
        <f t="shared" si="7"/>
        <v>A</v>
      </c>
      <c r="Y145" s="23">
        <f t="shared" si="8"/>
        <v>1</v>
      </c>
      <c r="AA145" s="23"/>
    </row>
    <row r="146" spans="1:31">
      <c r="A146">
        <v>141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4</v>
      </c>
      <c r="N146">
        <v>0</v>
      </c>
      <c r="O146">
        <v>0</v>
      </c>
      <c r="P146">
        <v>0</v>
      </c>
      <c r="Q146">
        <v>0</v>
      </c>
      <c r="R146">
        <v>17588</v>
      </c>
      <c r="S146">
        <v>0</v>
      </c>
      <c r="T146">
        <v>0</v>
      </c>
      <c r="U146">
        <v>0</v>
      </c>
      <c r="V146">
        <v>48</v>
      </c>
      <c r="W146" s="22">
        <f t="shared" si="6"/>
        <v>17593</v>
      </c>
      <c r="X146" t="str">
        <f t="shared" si="7"/>
        <v>T</v>
      </c>
      <c r="Y146" s="23">
        <f t="shared" si="8"/>
        <v>0.9997157960552493</v>
      </c>
      <c r="AA146" s="23"/>
    </row>
    <row r="147" spans="1:31">
      <c r="A147">
        <v>142</v>
      </c>
      <c r="B147">
        <v>17593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48</v>
      </c>
      <c r="W147" s="22">
        <f t="shared" si="6"/>
        <v>17594</v>
      </c>
      <c r="X147" t="str">
        <f t="shared" si="7"/>
        <v>A</v>
      </c>
      <c r="Y147" s="23">
        <f t="shared" si="8"/>
        <v>0.99994316244174153</v>
      </c>
      <c r="AA147" s="23"/>
    </row>
    <row r="148" spans="1:31">
      <c r="A148">
        <v>143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17596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48</v>
      </c>
      <c r="W148" s="22">
        <f t="shared" si="6"/>
        <v>17596</v>
      </c>
      <c r="X148" t="str">
        <f t="shared" si="7"/>
        <v>L</v>
      </c>
      <c r="Y148" s="23">
        <f t="shared" si="8"/>
        <v>1</v>
      </c>
      <c r="AA148" s="23"/>
    </row>
    <row r="149" spans="1:31">
      <c r="A149">
        <v>144</v>
      </c>
      <c r="B149">
        <v>17591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</v>
      </c>
      <c r="R149">
        <v>1</v>
      </c>
      <c r="S149">
        <v>0</v>
      </c>
      <c r="T149">
        <v>0</v>
      </c>
      <c r="U149">
        <v>0</v>
      </c>
      <c r="V149">
        <v>48</v>
      </c>
      <c r="W149" s="22">
        <f t="shared" si="6"/>
        <v>17594</v>
      </c>
      <c r="X149" t="str">
        <f t="shared" si="7"/>
        <v>A</v>
      </c>
      <c r="Y149" s="23">
        <f t="shared" si="8"/>
        <v>0.99982948732522448</v>
      </c>
      <c r="AA149" s="23"/>
    </row>
    <row r="150" spans="1:31">
      <c r="A150">
        <v>145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17595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48</v>
      </c>
      <c r="W150" s="22">
        <f t="shared" si="6"/>
        <v>17596</v>
      </c>
      <c r="X150" t="str">
        <f t="shared" si="7"/>
        <v>N</v>
      </c>
      <c r="Y150" s="23">
        <f t="shared" si="8"/>
        <v>0.99994316890202317</v>
      </c>
      <c r="AA150" s="23"/>
    </row>
    <row r="151" spans="1:31">
      <c r="A151">
        <v>146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17593</v>
      </c>
      <c r="S151">
        <v>0</v>
      </c>
      <c r="T151">
        <v>0</v>
      </c>
      <c r="U151">
        <v>0</v>
      </c>
      <c r="V151">
        <v>47</v>
      </c>
      <c r="W151" s="22">
        <f t="shared" si="6"/>
        <v>17594</v>
      </c>
      <c r="X151" t="str">
        <f t="shared" si="7"/>
        <v>T</v>
      </c>
      <c r="Y151" s="23">
        <f t="shared" si="8"/>
        <v>0.99994316244174153</v>
      </c>
      <c r="AA151" s="23"/>
    </row>
    <row r="152" spans="1:31">
      <c r="A152">
        <v>147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17595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</v>
      </c>
      <c r="T152">
        <v>0</v>
      </c>
      <c r="U152">
        <v>0</v>
      </c>
      <c r="V152">
        <v>47</v>
      </c>
      <c r="W152" s="22">
        <f t="shared" si="6"/>
        <v>17597</v>
      </c>
      <c r="X152" t="str">
        <f t="shared" si="7"/>
        <v>I</v>
      </c>
      <c r="Y152" s="23">
        <f t="shared" si="8"/>
        <v>0.99988634426322665</v>
      </c>
      <c r="AA152" s="23"/>
    </row>
    <row r="153" spans="1:31">
      <c r="A153">
        <v>148</v>
      </c>
      <c r="B153">
        <v>0</v>
      </c>
      <c r="C153">
        <v>0</v>
      </c>
      <c r="D153">
        <v>0</v>
      </c>
      <c r="E153">
        <v>17595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47</v>
      </c>
      <c r="W153" s="22">
        <f t="shared" si="6"/>
        <v>17596</v>
      </c>
      <c r="X153" t="str">
        <f t="shared" si="7"/>
        <v>E</v>
      </c>
      <c r="Y153" s="23">
        <f t="shared" si="8"/>
        <v>0.99994316890202317</v>
      </c>
      <c r="AA153" s="23"/>
    </row>
    <row r="154" spans="1:31">
      <c r="A154">
        <v>149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17569</v>
      </c>
      <c r="T154">
        <v>0</v>
      </c>
      <c r="U154">
        <v>0</v>
      </c>
      <c r="V154">
        <v>47</v>
      </c>
      <c r="W154" s="22">
        <f t="shared" si="6"/>
        <v>17588</v>
      </c>
      <c r="X154" t="str">
        <f t="shared" si="7"/>
        <v>V</v>
      </c>
      <c r="Y154" s="23">
        <f t="shared" si="8"/>
        <v>0.99891971798953827</v>
      </c>
      <c r="AA154" s="23"/>
    </row>
    <row r="155" spans="1:31">
      <c r="A155">
        <v>150</v>
      </c>
      <c r="B155">
        <v>0</v>
      </c>
      <c r="C155">
        <v>0</v>
      </c>
      <c r="D155">
        <v>0</v>
      </c>
      <c r="E155">
        <v>0</v>
      </c>
      <c r="F155">
        <v>17593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47</v>
      </c>
      <c r="W155" s="22">
        <f t="shared" si="6"/>
        <v>17594</v>
      </c>
      <c r="X155" t="str">
        <f t="shared" si="7"/>
        <v>F</v>
      </c>
      <c r="Y155" s="23">
        <f t="shared" si="8"/>
        <v>0.99994316244174153</v>
      </c>
      <c r="AA155" s="23"/>
    </row>
    <row r="156" spans="1:31">
      <c r="A156">
        <v>151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13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17579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47</v>
      </c>
      <c r="W156" s="22">
        <f t="shared" si="6"/>
        <v>17593</v>
      </c>
      <c r="X156" t="str">
        <f t="shared" si="7"/>
        <v>R</v>
      </c>
      <c r="Y156" s="23">
        <f t="shared" si="8"/>
        <v>0.99920422895469785</v>
      </c>
      <c r="AA156" s="23"/>
    </row>
    <row r="157" spans="1:31">
      <c r="A157">
        <v>152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17540</v>
      </c>
      <c r="R157">
        <v>1</v>
      </c>
      <c r="S157">
        <v>0</v>
      </c>
      <c r="T157">
        <v>0</v>
      </c>
      <c r="U157">
        <v>0</v>
      </c>
      <c r="V157">
        <v>47</v>
      </c>
      <c r="W157" s="22">
        <f t="shared" si="6"/>
        <v>17593</v>
      </c>
      <c r="X157" t="str">
        <f t="shared" si="7"/>
        <v>S</v>
      </c>
      <c r="Y157" s="23">
        <f t="shared" si="8"/>
        <v>0.99698743818564206</v>
      </c>
      <c r="AA157" s="23"/>
    </row>
    <row r="158" spans="1:31">
      <c r="A158">
        <v>153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17594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47</v>
      </c>
      <c r="W158" s="22">
        <f t="shared" si="6"/>
        <v>17595</v>
      </c>
      <c r="X158" t="str">
        <f t="shared" si="7"/>
        <v>N</v>
      </c>
      <c r="Y158" s="23">
        <f t="shared" si="8"/>
        <v>0.99994316567206598</v>
      </c>
      <c r="AA158" s="23"/>
    </row>
    <row r="159" spans="1:31" s="24" customFormat="1">
      <c r="A159" s="24">
        <v>154</v>
      </c>
      <c r="B159" s="24">
        <v>0</v>
      </c>
      <c r="C159" s="24">
        <v>0</v>
      </c>
      <c r="D159" s="24">
        <v>13993</v>
      </c>
      <c r="E159" s="24">
        <v>2</v>
      </c>
      <c r="F159" s="24">
        <v>0</v>
      </c>
      <c r="G159" s="24">
        <v>3525</v>
      </c>
      <c r="H159" s="26">
        <v>0</v>
      </c>
      <c r="I159" s="26">
        <v>0</v>
      </c>
      <c r="J159" s="26">
        <v>0</v>
      </c>
      <c r="K159" s="26">
        <v>0</v>
      </c>
      <c r="L159" s="26">
        <v>0</v>
      </c>
      <c r="M159" s="26">
        <v>63</v>
      </c>
      <c r="N159" s="26">
        <v>0</v>
      </c>
      <c r="O159" s="26">
        <v>0</v>
      </c>
      <c r="P159" s="26">
        <v>0</v>
      </c>
      <c r="Q159" s="26">
        <v>2</v>
      </c>
      <c r="R159" s="26">
        <v>0</v>
      </c>
      <c r="S159" s="26">
        <v>0</v>
      </c>
      <c r="T159" s="26">
        <v>0</v>
      </c>
      <c r="U159" s="26">
        <v>4</v>
      </c>
      <c r="V159" s="26">
        <v>47</v>
      </c>
      <c r="W159" s="26">
        <f t="shared" si="6"/>
        <v>17589</v>
      </c>
      <c r="X159" s="26" t="str">
        <f t="shared" si="7"/>
        <v>D</v>
      </c>
      <c r="Y159" s="27">
        <f t="shared" si="8"/>
        <v>0.79555403945647851</v>
      </c>
      <c r="Z159" s="26"/>
      <c r="AA159" s="27"/>
      <c r="AB159" s="26"/>
      <c r="AC159" s="26"/>
      <c r="AD159" s="26"/>
      <c r="AE159" s="26"/>
    </row>
    <row r="160" spans="1:31">
      <c r="A160">
        <v>155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17595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47</v>
      </c>
      <c r="W160" s="22">
        <f t="shared" si="6"/>
        <v>17595</v>
      </c>
      <c r="X160" t="str">
        <f t="shared" si="7"/>
        <v>L</v>
      </c>
      <c r="Y160" s="23">
        <f t="shared" si="8"/>
        <v>1</v>
      </c>
      <c r="AA160" s="23"/>
    </row>
    <row r="161" spans="1:27">
      <c r="A161">
        <v>156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14</v>
      </c>
      <c r="J161">
        <v>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</v>
      </c>
      <c r="Q161">
        <v>0</v>
      </c>
      <c r="R161">
        <v>17571</v>
      </c>
      <c r="S161">
        <v>0</v>
      </c>
      <c r="T161">
        <v>0</v>
      </c>
      <c r="U161">
        <v>0</v>
      </c>
      <c r="V161">
        <v>47</v>
      </c>
      <c r="W161" s="22">
        <f t="shared" si="6"/>
        <v>17596</v>
      </c>
      <c r="X161" t="str">
        <f t="shared" si="7"/>
        <v>T</v>
      </c>
      <c r="Y161" s="23">
        <f t="shared" si="8"/>
        <v>0.99857922255057963</v>
      </c>
      <c r="AA161" s="23"/>
    </row>
    <row r="162" spans="1:27">
      <c r="A162">
        <v>157</v>
      </c>
      <c r="B162">
        <v>17571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</v>
      </c>
      <c r="R162">
        <v>9</v>
      </c>
      <c r="S162">
        <v>8</v>
      </c>
      <c r="T162">
        <v>0</v>
      </c>
      <c r="U162">
        <v>0</v>
      </c>
      <c r="V162">
        <v>47</v>
      </c>
      <c r="W162" s="22">
        <f t="shared" si="6"/>
        <v>17592</v>
      </c>
      <c r="X162" t="str">
        <f t="shared" si="7"/>
        <v>A</v>
      </c>
      <c r="Y162" s="23">
        <f t="shared" si="8"/>
        <v>0.99880627557980906</v>
      </c>
      <c r="AA162" s="23"/>
    </row>
    <row r="163" spans="1:27">
      <c r="A163">
        <v>158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17574</v>
      </c>
      <c r="N163">
        <v>0</v>
      </c>
      <c r="O163">
        <v>0</v>
      </c>
      <c r="P163">
        <v>0</v>
      </c>
      <c r="Q163">
        <v>20</v>
      </c>
      <c r="R163">
        <v>0</v>
      </c>
      <c r="S163">
        <v>0</v>
      </c>
      <c r="T163">
        <v>0</v>
      </c>
      <c r="U163">
        <v>0</v>
      </c>
      <c r="V163">
        <v>47</v>
      </c>
      <c r="W163" s="22">
        <f t="shared" si="6"/>
        <v>17594</v>
      </c>
      <c r="X163" t="str">
        <f t="shared" si="7"/>
        <v>N</v>
      </c>
      <c r="Y163" s="23">
        <f t="shared" si="8"/>
        <v>0.99886324883483002</v>
      </c>
      <c r="AA163" s="23"/>
    </row>
    <row r="164" spans="1:27">
      <c r="A164">
        <v>159</v>
      </c>
      <c r="B164">
        <v>0</v>
      </c>
      <c r="C164">
        <v>0</v>
      </c>
      <c r="D164">
        <v>2</v>
      </c>
      <c r="E164">
        <v>17585</v>
      </c>
      <c r="F164">
        <v>0</v>
      </c>
      <c r="G164">
        <v>0</v>
      </c>
      <c r="H164">
        <v>0</v>
      </c>
      <c r="I164">
        <v>0</v>
      </c>
      <c r="J164">
        <v>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48</v>
      </c>
      <c r="W164" s="22">
        <f t="shared" si="6"/>
        <v>17592</v>
      </c>
      <c r="X164" t="str">
        <f t="shared" si="7"/>
        <v>E</v>
      </c>
      <c r="Y164" s="23">
        <f t="shared" si="8"/>
        <v>0.99960209185993631</v>
      </c>
      <c r="AA164" s="23"/>
    </row>
    <row r="165" spans="1:27">
      <c r="A165">
        <v>160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17595</v>
      </c>
      <c r="R165">
        <v>1</v>
      </c>
      <c r="S165">
        <v>0</v>
      </c>
      <c r="T165">
        <v>0</v>
      </c>
      <c r="U165">
        <v>0</v>
      </c>
      <c r="V165">
        <v>48</v>
      </c>
      <c r="W165" s="22">
        <f t="shared" si="6"/>
        <v>17596</v>
      </c>
      <c r="X165" t="str">
        <f t="shared" si="7"/>
        <v>S</v>
      </c>
      <c r="Y165" s="23">
        <f t="shared" si="8"/>
        <v>0.99994316890202317</v>
      </c>
      <c r="AA165" s="23"/>
    </row>
    <row r="166" spans="1:27">
      <c r="A166">
        <v>161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17595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48</v>
      </c>
      <c r="W166" s="22">
        <f t="shared" si="6"/>
        <v>17595</v>
      </c>
      <c r="X166" t="str">
        <f t="shared" si="7"/>
        <v>G</v>
      </c>
      <c r="Y166" s="23">
        <f t="shared" si="8"/>
        <v>1</v>
      </c>
      <c r="AA166" s="23"/>
    </row>
    <row r="167" spans="1:27">
      <c r="A167">
        <v>162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17595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47</v>
      </c>
      <c r="W167" s="22">
        <f t="shared" si="6"/>
        <v>17595</v>
      </c>
      <c r="X167" t="str">
        <f t="shared" si="7"/>
        <v>R</v>
      </c>
      <c r="Y167" s="23">
        <f t="shared" si="8"/>
        <v>1</v>
      </c>
      <c r="AA167" s="23"/>
    </row>
    <row r="168" spans="1:27">
      <c r="A168">
        <v>163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17595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47</v>
      </c>
      <c r="W168" s="22">
        <f t="shared" si="6"/>
        <v>17595</v>
      </c>
      <c r="X168" t="str">
        <f t="shared" si="7"/>
        <v>L</v>
      </c>
      <c r="Y168" s="23">
        <f t="shared" si="8"/>
        <v>1</v>
      </c>
      <c r="AA168" s="23"/>
    </row>
    <row r="169" spans="1:27">
      <c r="A169">
        <v>164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17572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22</v>
      </c>
      <c r="T169">
        <v>0</v>
      </c>
      <c r="U169">
        <v>0</v>
      </c>
      <c r="V169">
        <v>47</v>
      </c>
      <c r="W169" s="22">
        <f t="shared" si="6"/>
        <v>17596</v>
      </c>
      <c r="X169" t="str">
        <f t="shared" si="7"/>
        <v>I</v>
      </c>
      <c r="Y169" s="23">
        <f t="shared" si="8"/>
        <v>0.99863605364855645</v>
      </c>
      <c r="AA169" s="23"/>
    </row>
    <row r="170" spans="1:27">
      <c r="A170">
        <v>165</v>
      </c>
      <c r="B170">
        <v>0</v>
      </c>
      <c r="C170">
        <v>0</v>
      </c>
      <c r="D170">
        <v>17594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47</v>
      </c>
      <c r="W170" s="22">
        <f t="shared" si="6"/>
        <v>17596</v>
      </c>
      <c r="X170" t="str">
        <f t="shared" si="7"/>
        <v>D</v>
      </c>
      <c r="Y170" s="23">
        <f t="shared" si="8"/>
        <v>0.99988633780404634</v>
      </c>
      <c r="AA170" s="23"/>
    </row>
    <row r="171" spans="1:27">
      <c r="A171">
        <v>166</v>
      </c>
      <c r="B171">
        <v>0</v>
      </c>
      <c r="C171">
        <v>0</v>
      </c>
      <c r="D171">
        <v>0</v>
      </c>
      <c r="E171">
        <v>0</v>
      </c>
      <c r="F171">
        <v>17594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46</v>
      </c>
      <c r="W171" s="22">
        <f t="shared" si="6"/>
        <v>17597</v>
      </c>
      <c r="X171" t="str">
        <f t="shared" si="7"/>
        <v>F</v>
      </c>
      <c r="Y171" s="23">
        <f t="shared" si="8"/>
        <v>0.99982951639484008</v>
      </c>
      <c r="AA171" s="23"/>
    </row>
    <row r="172" spans="1:27">
      <c r="A172">
        <v>167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17593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46</v>
      </c>
      <c r="W172" s="22">
        <f t="shared" si="6"/>
        <v>17593</v>
      </c>
      <c r="X172" t="str">
        <f t="shared" si="7"/>
        <v>L</v>
      </c>
      <c r="Y172" s="23">
        <f t="shared" si="8"/>
        <v>1</v>
      </c>
      <c r="AA172" s="23"/>
    </row>
    <row r="173" spans="1:27">
      <c r="A173">
        <v>168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17594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46</v>
      </c>
      <c r="W173" s="22">
        <f t="shared" si="6"/>
        <v>17595</v>
      </c>
      <c r="X173" t="str">
        <f t="shared" si="7"/>
        <v>K</v>
      </c>
      <c r="Y173" s="23">
        <f t="shared" si="8"/>
        <v>0.99994316567206598</v>
      </c>
      <c r="AA173" s="23"/>
    </row>
    <row r="174" spans="1:27">
      <c r="A174">
        <v>169</v>
      </c>
      <c r="B174">
        <v>0</v>
      </c>
      <c r="C174">
        <v>0</v>
      </c>
      <c r="D174">
        <v>17595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46</v>
      </c>
      <c r="W174" s="22">
        <f t="shared" si="6"/>
        <v>17595</v>
      </c>
      <c r="X174" t="str">
        <f t="shared" si="7"/>
        <v>D</v>
      </c>
      <c r="Y174" s="23">
        <f t="shared" si="8"/>
        <v>1</v>
      </c>
      <c r="AA174" s="23"/>
    </row>
    <row r="175" spans="1:27">
      <c r="A175">
        <v>170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17593</v>
      </c>
      <c r="T175">
        <v>0</v>
      </c>
      <c r="U175">
        <v>0</v>
      </c>
      <c r="V175">
        <v>46</v>
      </c>
      <c r="W175" s="22">
        <f t="shared" si="6"/>
        <v>17595</v>
      </c>
      <c r="X175" t="str">
        <f t="shared" si="7"/>
        <v>V</v>
      </c>
      <c r="Y175" s="23">
        <f t="shared" si="8"/>
        <v>0.99988633134413185</v>
      </c>
      <c r="AA175" s="23"/>
    </row>
    <row r="176" spans="1:27">
      <c r="A176">
        <v>171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22</v>
      </c>
      <c r="J176">
        <v>0</v>
      </c>
      <c r="K176">
        <v>3</v>
      </c>
      <c r="L176">
        <v>17554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16</v>
      </c>
      <c r="T176">
        <v>0</v>
      </c>
      <c r="U176">
        <v>0</v>
      </c>
      <c r="V176">
        <v>46</v>
      </c>
      <c r="W176" s="22">
        <f t="shared" si="6"/>
        <v>17596</v>
      </c>
      <c r="X176" t="str">
        <f t="shared" si="7"/>
        <v>M</v>
      </c>
      <c r="Y176" s="23">
        <f t="shared" si="8"/>
        <v>0.99761309388497388</v>
      </c>
      <c r="AA176" s="23"/>
    </row>
    <row r="177" spans="1:34">
      <c r="A177" s="24">
        <v>172</v>
      </c>
      <c r="B177" s="24">
        <v>0</v>
      </c>
      <c r="C177" s="24">
        <v>0</v>
      </c>
      <c r="D177" s="24">
        <v>1</v>
      </c>
      <c r="E177" s="24">
        <v>17574</v>
      </c>
      <c r="F177" s="24">
        <v>0</v>
      </c>
      <c r="G177" s="24">
        <v>10</v>
      </c>
      <c r="H177" s="24">
        <v>0</v>
      </c>
      <c r="I177" s="24">
        <v>0</v>
      </c>
      <c r="J177" s="24">
        <v>10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47</v>
      </c>
      <c r="W177" s="24">
        <f t="shared" si="6"/>
        <v>17595</v>
      </c>
      <c r="X177" s="24" t="str">
        <f t="shared" si="7"/>
        <v>E</v>
      </c>
      <c r="Y177" s="25">
        <f t="shared" si="8"/>
        <v>0.99880647911338449</v>
      </c>
      <c r="Z177" s="24"/>
      <c r="AA177" s="25">
        <f>D177/W177</f>
        <v>5.6834327934072182E-5</v>
      </c>
      <c r="AB177" s="24"/>
      <c r="AC177" s="24"/>
      <c r="AD177" s="24"/>
      <c r="AE177" s="24"/>
      <c r="AF177" s="24"/>
      <c r="AG177" s="24"/>
      <c r="AH177" s="24"/>
    </row>
    <row r="178" spans="1:34">
      <c r="A178">
        <v>173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17594</v>
      </c>
      <c r="R178">
        <v>0</v>
      </c>
      <c r="S178">
        <v>0</v>
      </c>
      <c r="T178">
        <v>0</v>
      </c>
      <c r="U178">
        <v>0</v>
      </c>
      <c r="V178">
        <v>47</v>
      </c>
      <c r="W178" s="22">
        <f t="shared" si="6"/>
        <v>17595</v>
      </c>
      <c r="X178" t="str">
        <f t="shared" si="7"/>
        <v>S</v>
      </c>
      <c r="Y178" s="23">
        <f t="shared" si="8"/>
        <v>0.99994316567206598</v>
      </c>
      <c r="AA178" s="23"/>
    </row>
    <row r="179" spans="1:34">
      <c r="A179">
        <v>174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4</v>
      </c>
      <c r="J179">
        <v>0</v>
      </c>
      <c r="K179">
        <v>4</v>
      </c>
      <c r="L179">
        <v>17562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8</v>
      </c>
      <c r="S179">
        <v>18</v>
      </c>
      <c r="T179">
        <v>0</v>
      </c>
      <c r="U179">
        <v>0</v>
      </c>
      <c r="V179">
        <v>47</v>
      </c>
      <c r="W179" s="22">
        <f t="shared" si="6"/>
        <v>17596</v>
      </c>
      <c r="X179" t="str">
        <f t="shared" si="7"/>
        <v>M</v>
      </c>
      <c r="Y179" s="23">
        <f t="shared" si="8"/>
        <v>0.99806774266878839</v>
      </c>
      <c r="AA179" s="23"/>
    </row>
    <row r="180" spans="1:34">
      <c r="A180" s="24">
        <v>175</v>
      </c>
      <c r="B180" s="24">
        <v>0</v>
      </c>
      <c r="C180" s="24">
        <v>0</v>
      </c>
      <c r="D180" s="24">
        <v>476</v>
      </c>
      <c r="E180" s="24">
        <v>0</v>
      </c>
      <c r="F180" s="24">
        <v>0</v>
      </c>
      <c r="G180" s="24">
        <v>0</v>
      </c>
      <c r="H180" s="24">
        <v>0</v>
      </c>
      <c r="I180" s="24">
        <v>1</v>
      </c>
      <c r="J180" s="24">
        <v>2</v>
      </c>
      <c r="K180" s="24">
        <v>0</v>
      </c>
      <c r="L180" s="24">
        <v>0</v>
      </c>
      <c r="M180" s="24">
        <v>17097</v>
      </c>
      <c r="N180" s="24">
        <v>0</v>
      </c>
      <c r="O180" s="24">
        <v>0</v>
      </c>
      <c r="P180" s="24">
        <v>0</v>
      </c>
      <c r="Q180" s="24">
        <v>15</v>
      </c>
      <c r="R180" s="24">
        <v>0</v>
      </c>
      <c r="S180" s="24">
        <v>0</v>
      </c>
      <c r="T180" s="24">
        <v>0</v>
      </c>
      <c r="U180" s="24">
        <v>0</v>
      </c>
      <c r="V180" s="24">
        <v>47</v>
      </c>
      <c r="W180" s="24">
        <f t="shared" si="6"/>
        <v>17591</v>
      </c>
      <c r="X180" s="24" t="str">
        <f t="shared" si="7"/>
        <v>N</v>
      </c>
      <c r="Y180" s="25">
        <f t="shared" si="8"/>
        <v>0.97191745779091576</v>
      </c>
      <c r="Z180" s="24"/>
      <c r="AA180" s="25">
        <f>D180/W180</f>
        <v>2.7059291683247114E-2</v>
      </c>
      <c r="AB180" s="24"/>
      <c r="AC180" s="24"/>
      <c r="AD180" s="24"/>
      <c r="AE180" s="24"/>
      <c r="AF180" s="24"/>
      <c r="AG180" s="24"/>
    </row>
    <row r="181" spans="1:34">
      <c r="A181">
        <v>176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17564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47</v>
      </c>
      <c r="W181" s="22">
        <f t="shared" si="6"/>
        <v>17594</v>
      </c>
      <c r="X181" t="str">
        <f t="shared" si="7"/>
        <v>K</v>
      </c>
      <c r="Y181" s="23">
        <f t="shared" si="8"/>
        <v>0.99829487325224509</v>
      </c>
      <c r="AA181" s="23"/>
    </row>
    <row r="182" spans="1:34">
      <c r="A182">
        <v>177</v>
      </c>
      <c r="B182">
        <v>1</v>
      </c>
      <c r="C182">
        <v>0</v>
      </c>
      <c r="D182">
        <v>4</v>
      </c>
      <c r="E182">
        <v>17575</v>
      </c>
      <c r="F182">
        <v>0</v>
      </c>
      <c r="G182">
        <v>2</v>
      </c>
      <c r="H182">
        <v>0</v>
      </c>
      <c r="I182">
        <v>0</v>
      </c>
      <c r="J182">
        <v>13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47</v>
      </c>
      <c r="W182" s="22">
        <f t="shared" si="6"/>
        <v>17595</v>
      </c>
      <c r="X182" t="str">
        <f t="shared" si="7"/>
        <v>E</v>
      </c>
      <c r="Y182" s="23">
        <f t="shared" si="8"/>
        <v>0.99886331344131851</v>
      </c>
      <c r="AA182" s="23"/>
    </row>
    <row r="183" spans="1:34">
      <c r="A183">
        <v>178</v>
      </c>
      <c r="B183">
        <v>0</v>
      </c>
      <c r="C183">
        <v>0</v>
      </c>
      <c r="D183">
        <v>0</v>
      </c>
      <c r="E183">
        <v>17577</v>
      </c>
      <c r="F183">
        <v>0</v>
      </c>
      <c r="G183">
        <v>4</v>
      </c>
      <c r="H183">
        <v>0</v>
      </c>
      <c r="I183">
        <v>0</v>
      </c>
      <c r="J183">
        <v>10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47</v>
      </c>
      <c r="W183" s="22">
        <f t="shared" si="6"/>
        <v>17591</v>
      </c>
      <c r="X183" t="str">
        <f t="shared" si="7"/>
        <v>E</v>
      </c>
      <c r="Y183" s="23">
        <f t="shared" si="8"/>
        <v>0.99920413847990452</v>
      </c>
      <c r="AA183" s="23"/>
    </row>
    <row r="184" spans="1:34">
      <c r="A184" s="24">
        <v>179</v>
      </c>
      <c r="B184" s="24">
        <v>0</v>
      </c>
      <c r="C184" s="24">
        <v>0</v>
      </c>
      <c r="D184" s="24">
        <v>0</v>
      </c>
      <c r="E184" s="24">
        <v>0</v>
      </c>
      <c r="F184" s="24">
        <v>0</v>
      </c>
      <c r="G184" s="24">
        <v>0</v>
      </c>
      <c r="H184" s="24">
        <v>0</v>
      </c>
      <c r="I184" s="24">
        <v>17534</v>
      </c>
      <c r="J184" s="24">
        <v>0</v>
      </c>
      <c r="K184" s="24">
        <v>0</v>
      </c>
      <c r="L184" s="24">
        <v>50</v>
      </c>
      <c r="M184" s="24">
        <v>0</v>
      </c>
      <c r="N184" s="24">
        <v>0</v>
      </c>
      <c r="O184" s="24">
        <v>0</v>
      </c>
      <c r="P184" s="24">
        <v>0</v>
      </c>
      <c r="Q184" s="24">
        <v>0</v>
      </c>
      <c r="R184" s="24">
        <v>0</v>
      </c>
      <c r="S184" s="24">
        <v>12</v>
      </c>
      <c r="T184" s="24">
        <v>0</v>
      </c>
      <c r="U184" s="24">
        <v>0</v>
      </c>
      <c r="V184" s="24">
        <v>47</v>
      </c>
      <c r="W184" s="24">
        <f t="shared" si="6"/>
        <v>17596</v>
      </c>
      <c r="X184" s="24" t="str">
        <f t="shared" si="7"/>
        <v>I</v>
      </c>
      <c r="Y184" s="25">
        <f t="shared" si="8"/>
        <v>0.99647647192543765</v>
      </c>
      <c r="Z184" s="24"/>
      <c r="AA184" s="25">
        <f>L184/W184</f>
        <v>2.8415548988406456E-3</v>
      </c>
      <c r="AB184" s="24"/>
      <c r="AC184" s="24"/>
      <c r="AD184" s="24"/>
      <c r="AE184" s="24"/>
      <c r="AF184" s="24"/>
      <c r="AG184" s="24"/>
      <c r="AH184" s="24"/>
    </row>
    <row r="185" spans="1:34">
      <c r="A185">
        <v>180</v>
      </c>
      <c r="B185">
        <v>0</v>
      </c>
      <c r="C185">
        <v>0</v>
      </c>
      <c r="D185">
        <v>0</v>
      </c>
      <c r="E185">
        <v>17591</v>
      </c>
      <c r="F185">
        <v>0</v>
      </c>
      <c r="G185">
        <v>0</v>
      </c>
      <c r="H185">
        <v>0</v>
      </c>
      <c r="I185">
        <v>0</v>
      </c>
      <c r="J185">
        <v>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48</v>
      </c>
      <c r="W185" s="22">
        <f t="shared" si="6"/>
        <v>17595</v>
      </c>
      <c r="X185" t="str">
        <f t="shared" si="7"/>
        <v>E</v>
      </c>
      <c r="Y185" s="23">
        <f t="shared" si="8"/>
        <v>0.9997726626882637</v>
      </c>
      <c r="AA185" s="23"/>
    </row>
    <row r="186" spans="1:34">
      <c r="A186">
        <v>181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17576</v>
      </c>
      <c r="J186">
        <v>0</v>
      </c>
      <c r="K186">
        <v>0</v>
      </c>
      <c r="L186">
        <v>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12</v>
      </c>
      <c r="T186">
        <v>0</v>
      </c>
      <c r="U186">
        <v>0</v>
      </c>
      <c r="V186">
        <v>48</v>
      </c>
      <c r="W186" s="22">
        <f t="shared" si="6"/>
        <v>17593</v>
      </c>
      <c r="X186" t="str">
        <f t="shared" si="7"/>
        <v>I</v>
      </c>
      <c r="Y186" s="23">
        <f t="shared" si="8"/>
        <v>0.9990337065878474</v>
      </c>
      <c r="AA186" s="23"/>
    </row>
    <row r="187" spans="1:34">
      <c r="A187">
        <v>182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17565</v>
      </c>
      <c r="S187">
        <v>0</v>
      </c>
      <c r="T187">
        <v>0</v>
      </c>
      <c r="U187">
        <v>0</v>
      </c>
      <c r="V187">
        <v>48</v>
      </c>
      <c r="W187" s="22">
        <f t="shared" si="6"/>
        <v>17592</v>
      </c>
      <c r="X187" t="str">
        <f t="shared" si="7"/>
        <v>T</v>
      </c>
      <c r="Y187" s="23">
        <f t="shared" si="8"/>
        <v>0.99846521145975442</v>
      </c>
      <c r="AA187" s="23"/>
    </row>
    <row r="188" spans="1:34">
      <c r="A188">
        <v>183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17589</v>
      </c>
      <c r="S188">
        <v>0</v>
      </c>
      <c r="T188">
        <v>0</v>
      </c>
      <c r="U188">
        <v>0</v>
      </c>
      <c r="V188">
        <v>48</v>
      </c>
      <c r="W188" s="22">
        <f t="shared" si="6"/>
        <v>17592</v>
      </c>
      <c r="X188" t="str">
        <f t="shared" si="7"/>
        <v>T</v>
      </c>
      <c r="Y188" s="23">
        <f t="shared" si="8"/>
        <v>0.99982946793997274</v>
      </c>
      <c r="AA188" s="23"/>
    </row>
    <row r="189" spans="1:34">
      <c r="A189">
        <v>184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17593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48</v>
      </c>
      <c r="W189" s="22">
        <f t="shared" si="6"/>
        <v>17594</v>
      </c>
      <c r="X189" t="str">
        <f t="shared" si="7"/>
        <v>H</v>
      </c>
      <c r="Y189" s="23">
        <f t="shared" si="8"/>
        <v>0.99994316244174153</v>
      </c>
      <c r="AA189" s="23"/>
    </row>
    <row r="190" spans="1:34">
      <c r="A190">
        <v>185</v>
      </c>
      <c r="B190">
        <v>0</v>
      </c>
      <c r="C190">
        <v>0</v>
      </c>
      <c r="D190">
        <v>0</v>
      </c>
      <c r="E190">
        <v>0</v>
      </c>
      <c r="F190">
        <v>17591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48</v>
      </c>
      <c r="W190" s="22">
        <f t="shared" si="6"/>
        <v>17591</v>
      </c>
      <c r="X190" t="str">
        <f t="shared" si="7"/>
        <v>F</v>
      </c>
      <c r="Y190" s="23">
        <f t="shared" si="8"/>
        <v>1</v>
      </c>
      <c r="AA190" s="23"/>
    </row>
    <row r="191" spans="1:34">
      <c r="A191">
        <v>186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17595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48</v>
      </c>
      <c r="W191" s="22">
        <f t="shared" si="6"/>
        <v>17595</v>
      </c>
      <c r="X191" t="str">
        <f t="shared" si="7"/>
        <v>Q</v>
      </c>
      <c r="Y191" s="23">
        <f t="shared" si="8"/>
        <v>1</v>
      </c>
      <c r="AA191" s="23"/>
    </row>
    <row r="192" spans="1:34">
      <c r="A192">
        <v>187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17591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48</v>
      </c>
      <c r="W192" s="22">
        <f t="shared" si="6"/>
        <v>17592</v>
      </c>
      <c r="X192" t="str">
        <f t="shared" si="7"/>
        <v>R</v>
      </c>
      <c r="Y192" s="23">
        <f t="shared" si="8"/>
        <v>0.99994315597999095</v>
      </c>
      <c r="AA192" s="23"/>
    </row>
    <row r="193" spans="1:27">
      <c r="A193">
        <v>188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17592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48</v>
      </c>
      <c r="W193" s="22">
        <f t="shared" si="6"/>
        <v>17592</v>
      </c>
      <c r="X193" t="str">
        <f t="shared" si="7"/>
        <v>K</v>
      </c>
      <c r="Y193" s="23">
        <f t="shared" si="8"/>
        <v>1</v>
      </c>
      <c r="AA193" s="23"/>
    </row>
    <row r="194" spans="1:27">
      <c r="A194">
        <v>189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17585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48</v>
      </c>
      <c r="W194" s="22">
        <f t="shared" si="6"/>
        <v>17593</v>
      </c>
      <c r="X194" t="str">
        <f t="shared" si="7"/>
        <v>R</v>
      </c>
      <c r="Y194" s="23">
        <f t="shared" si="8"/>
        <v>0.99954527368839885</v>
      </c>
      <c r="AA194" s="23"/>
    </row>
    <row r="195" spans="1:27">
      <c r="A195">
        <v>190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17586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48</v>
      </c>
      <c r="W195" s="22">
        <f t="shared" si="6"/>
        <v>17595</v>
      </c>
      <c r="X195" t="str">
        <f t="shared" si="7"/>
        <v>R</v>
      </c>
      <c r="Y195" s="23">
        <f t="shared" si="8"/>
        <v>0.99948849104859339</v>
      </c>
      <c r="AA195" s="23"/>
    </row>
    <row r="196" spans="1:27">
      <c r="A196">
        <v>191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72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17520</v>
      </c>
      <c r="T196">
        <v>0</v>
      </c>
      <c r="U196">
        <v>0</v>
      </c>
      <c r="V196">
        <v>47</v>
      </c>
      <c r="W196" s="22">
        <f t="shared" si="6"/>
        <v>17593</v>
      </c>
      <c r="X196" t="str">
        <f t="shared" si="7"/>
        <v>V</v>
      </c>
      <c r="Y196" s="23">
        <f t="shared" si="8"/>
        <v>0.99585062240663902</v>
      </c>
      <c r="AA196" s="23"/>
    </row>
    <row r="197" spans="1:27">
      <c r="A197">
        <v>192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</v>
      </c>
      <c r="J197">
        <v>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17584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47</v>
      </c>
      <c r="W197" s="22">
        <f t="shared" si="6"/>
        <v>17595</v>
      </c>
      <c r="X197" t="str">
        <f t="shared" si="7"/>
        <v>R</v>
      </c>
      <c r="Y197" s="23">
        <f t="shared" si="8"/>
        <v>0.99937482239272524</v>
      </c>
      <c r="AA197" s="23"/>
    </row>
    <row r="198" spans="1:27">
      <c r="A198">
        <v>193</v>
      </c>
      <c r="B198">
        <v>0</v>
      </c>
      <c r="C198">
        <v>0</v>
      </c>
      <c r="D198">
        <v>17595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47</v>
      </c>
      <c r="W198" s="22">
        <f t="shared" ref="W198:W261" si="9">SUM(B198:U198)</f>
        <v>17596</v>
      </c>
      <c r="X198" t="str">
        <f t="shared" ref="X198:X261" si="10">INDEX(($B$4:$U$4),MATCH(LARGE(B198:U198,1),B198:U198,0))</f>
        <v>D</v>
      </c>
      <c r="Y198" s="23">
        <f t="shared" ref="Y198:Y261" si="11">(MAX(B198:U198))/W198</f>
        <v>0.99994316890202317</v>
      </c>
      <c r="AA198" s="23"/>
    </row>
    <row r="199" spans="1:27">
      <c r="A199">
        <v>194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17564</v>
      </c>
      <c r="N199">
        <v>0</v>
      </c>
      <c r="O199">
        <v>0</v>
      </c>
      <c r="P199">
        <v>0</v>
      </c>
      <c r="Q199">
        <v>30</v>
      </c>
      <c r="R199">
        <v>0</v>
      </c>
      <c r="S199">
        <v>0</v>
      </c>
      <c r="T199">
        <v>0</v>
      </c>
      <c r="U199">
        <v>1</v>
      </c>
      <c r="V199">
        <v>47</v>
      </c>
      <c r="W199" s="22">
        <f t="shared" si="9"/>
        <v>17597</v>
      </c>
      <c r="X199" t="str">
        <f t="shared" si="10"/>
        <v>N</v>
      </c>
      <c r="Y199" s="23">
        <f t="shared" si="11"/>
        <v>0.99812468034324031</v>
      </c>
      <c r="AA199" s="23"/>
    </row>
    <row r="200" spans="1:27">
      <c r="A200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9</v>
      </c>
      <c r="J200">
        <v>0</v>
      </c>
      <c r="K200">
        <v>8</v>
      </c>
      <c r="L200">
        <v>17530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40</v>
      </c>
      <c r="S200">
        <v>8</v>
      </c>
      <c r="T200">
        <v>0</v>
      </c>
      <c r="U200">
        <v>0</v>
      </c>
      <c r="V200">
        <v>47</v>
      </c>
      <c r="W200" s="22">
        <f t="shared" si="9"/>
        <v>17595</v>
      </c>
      <c r="X200" t="str">
        <f t="shared" si="10"/>
        <v>M</v>
      </c>
      <c r="Y200" s="23">
        <f t="shared" si="11"/>
        <v>0.99630576868428533</v>
      </c>
      <c r="AA200" s="23"/>
    </row>
    <row r="201" spans="1:27">
      <c r="A201">
        <v>196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17596</v>
      </c>
      <c r="S201">
        <v>0</v>
      </c>
      <c r="T201">
        <v>0</v>
      </c>
      <c r="U201">
        <v>0</v>
      </c>
      <c r="V201">
        <v>48</v>
      </c>
      <c r="W201" s="22">
        <f t="shared" si="9"/>
        <v>17596</v>
      </c>
      <c r="X201" t="str">
        <f t="shared" si="10"/>
        <v>T</v>
      </c>
      <c r="Y201" s="23">
        <f t="shared" si="11"/>
        <v>1</v>
      </c>
      <c r="AA201" s="23"/>
    </row>
    <row r="202" spans="1:27">
      <c r="A202">
        <v>197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17575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13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48</v>
      </c>
      <c r="W202" s="22">
        <f t="shared" si="9"/>
        <v>17591</v>
      </c>
      <c r="X202" t="str">
        <f t="shared" si="10"/>
        <v>K</v>
      </c>
      <c r="Y202" s="23">
        <f t="shared" si="11"/>
        <v>0.99909044397703373</v>
      </c>
      <c r="AA202" s="23"/>
    </row>
    <row r="203" spans="1:27">
      <c r="A203">
        <v>198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17585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48</v>
      </c>
      <c r="W203" s="22">
        <f t="shared" si="9"/>
        <v>17594</v>
      </c>
      <c r="X203" t="str">
        <f t="shared" si="10"/>
        <v>K</v>
      </c>
      <c r="Y203" s="23">
        <f t="shared" si="11"/>
        <v>0.99948846197567354</v>
      </c>
      <c r="AA203" s="23"/>
    </row>
    <row r="204" spans="1:27">
      <c r="A204">
        <v>199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6</v>
      </c>
      <c r="J204">
        <v>0</v>
      </c>
      <c r="K204">
        <v>0</v>
      </c>
      <c r="L204">
        <v>17589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48</v>
      </c>
      <c r="W204" s="22">
        <f t="shared" si="9"/>
        <v>17595</v>
      </c>
      <c r="X204" t="str">
        <f t="shared" si="10"/>
        <v>M</v>
      </c>
      <c r="Y204" s="23">
        <f t="shared" si="11"/>
        <v>0.99965899403239555</v>
      </c>
      <c r="AA204" s="23"/>
    </row>
    <row r="205" spans="1:27">
      <c r="A205">
        <v>200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2129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15463</v>
      </c>
      <c r="T205">
        <v>0</v>
      </c>
      <c r="U205">
        <v>0</v>
      </c>
      <c r="V205">
        <v>48</v>
      </c>
      <c r="W205" s="22">
        <f t="shared" si="9"/>
        <v>17594</v>
      </c>
      <c r="X205" t="str">
        <f t="shared" si="10"/>
        <v>V</v>
      </c>
      <c r="Y205" s="23">
        <f t="shared" si="11"/>
        <v>0.87887916335114247</v>
      </c>
      <c r="AA205" s="23"/>
    </row>
    <row r="206" spans="1:27">
      <c r="A206">
        <v>201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17582</v>
      </c>
      <c r="S206">
        <v>0</v>
      </c>
      <c r="T206">
        <v>0</v>
      </c>
      <c r="U206">
        <v>0</v>
      </c>
      <c r="V206">
        <v>48</v>
      </c>
      <c r="W206" s="22">
        <f t="shared" si="9"/>
        <v>17587</v>
      </c>
      <c r="X206" t="str">
        <f t="shared" si="10"/>
        <v>T</v>
      </c>
      <c r="Y206" s="23">
        <f t="shared" si="11"/>
        <v>0.99971569909592317</v>
      </c>
      <c r="AA206" s="23"/>
    </row>
    <row r="207" spans="1:27">
      <c r="A207">
        <v>202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17592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48</v>
      </c>
      <c r="W207" s="22">
        <f t="shared" si="9"/>
        <v>17594</v>
      </c>
      <c r="X207" t="str">
        <f t="shared" si="10"/>
        <v>Q</v>
      </c>
      <c r="Y207" s="23">
        <f t="shared" si="11"/>
        <v>0.99988632488348306</v>
      </c>
      <c r="AA207" s="23"/>
    </row>
    <row r="208" spans="1:27">
      <c r="A208">
        <v>203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17592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48</v>
      </c>
      <c r="W208" s="22">
        <f t="shared" si="9"/>
        <v>17593</v>
      </c>
      <c r="X208" t="str">
        <f t="shared" si="10"/>
        <v>R</v>
      </c>
      <c r="Y208" s="23">
        <f t="shared" si="11"/>
        <v>0.99994315921104981</v>
      </c>
      <c r="AA208" s="23"/>
    </row>
    <row r="209" spans="1:27">
      <c r="A209">
        <v>204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17593</v>
      </c>
      <c r="S209">
        <v>0</v>
      </c>
      <c r="T209">
        <v>0</v>
      </c>
      <c r="U209">
        <v>0</v>
      </c>
      <c r="V209">
        <v>48</v>
      </c>
      <c r="W209" s="22">
        <f t="shared" si="9"/>
        <v>17596</v>
      </c>
      <c r="X209" t="str">
        <f t="shared" si="10"/>
        <v>T</v>
      </c>
      <c r="Y209" s="23">
        <f t="shared" si="11"/>
        <v>0.99982950670606952</v>
      </c>
      <c r="AA209" s="23"/>
    </row>
    <row r="210" spans="1:27">
      <c r="A210">
        <v>205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17572</v>
      </c>
      <c r="J210">
        <v>0</v>
      </c>
      <c r="K210">
        <v>3</v>
      </c>
      <c r="L210">
        <v>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10</v>
      </c>
      <c r="T210">
        <v>0</v>
      </c>
      <c r="U210">
        <v>0</v>
      </c>
      <c r="V210">
        <v>48</v>
      </c>
      <c r="W210" s="22">
        <f t="shared" si="9"/>
        <v>17593</v>
      </c>
      <c r="X210" t="str">
        <f t="shared" si="10"/>
        <v>I</v>
      </c>
      <c r="Y210" s="23">
        <f t="shared" si="11"/>
        <v>0.99880634343204688</v>
      </c>
      <c r="AA210" s="23"/>
    </row>
    <row r="211" spans="1:27">
      <c r="A211">
        <v>206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17585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48</v>
      </c>
      <c r="W211" s="22">
        <f t="shared" si="9"/>
        <v>17587</v>
      </c>
      <c r="X211" t="str">
        <f t="shared" si="10"/>
        <v>G</v>
      </c>
      <c r="Y211" s="23">
        <f t="shared" si="11"/>
        <v>0.99988627963836929</v>
      </c>
      <c r="AA211" s="23"/>
    </row>
    <row r="212" spans="1:27">
      <c r="A212">
        <v>207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17589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48</v>
      </c>
      <c r="W212" s="22">
        <f t="shared" si="9"/>
        <v>17593</v>
      </c>
      <c r="X212" t="str">
        <f t="shared" si="10"/>
        <v>K</v>
      </c>
      <c r="Y212" s="23">
        <f t="shared" si="11"/>
        <v>0.99977263684419937</v>
      </c>
      <c r="AA212" s="23"/>
    </row>
    <row r="213" spans="1:27">
      <c r="A213">
        <v>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17589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47</v>
      </c>
      <c r="W213" s="22">
        <f t="shared" si="9"/>
        <v>17595</v>
      </c>
      <c r="X213" t="str">
        <f t="shared" si="10"/>
        <v>K</v>
      </c>
      <c r="Y213" s="23">
        <f t="shared" si="11"/>
        <v>0.99965899403239555</v>
      </c>
      <c r="AA213" s="23"/>
    </row>
    <row r="214" spans="1:27">
      <c r="A214">
        <v>209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17585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47</v>
      </c>
      <c r="W214" s="22">
        <f t="shared" si="9"/>
        <v>17594</v>
      </c>
      <c r="X214" t="str">
        <f t="shared" si="10"/>
        <v>K</v>
      </c>
      <c r="Y214" s="23">
        <f t="shared" si="11"/>
        <v>0.99948846197567354</v>
      </c>
      <c r="AA214" s="23"/>
    </row>
    <row r="215" spans="1:27">
      <c r="A215">
        <v>210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6</v>
      </c>
      <c r="I215">
        <v>0</v>
      </c>
      <c r="J215">
        <v>0</v>
      </c>
      <c r="K215">
        <v>17</v>
      </c>
      <c r="L215">
        <v>0</v>
      </c>
      <c r="M215">
        <v>0</v>
      </c>
      <c r="N215">
        <v>0</v>
      </c>
      <c r="O215">
        <v>17567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47</v>
      </c>
      <c r="W215" s="22">
        <f t="shared" si="9"/>
        <v>17591</v>
      </c>
      <c r="X215" t="str">
        <f t="shared" si="10"/>
        <v>Q</v>
      </c>
      <c r="Y215" s="23">
        <f t="shared" si="11"/>
        <v>0.99863566596555053</v>
      </c>
      <c r="AA215" s="23"/>
    </row>
    <row r="216" spans="1:27">
      <c r="A216">
        <v>211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385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17206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47</v>
      </c>
      <c r="W216" s="22">
        <f t="shared" si="9"/>
        <v>17593</v>
      </c>
      <c r="X216" t="str">
        <f t="shared" si="10"/>
        <v>R</v>
      </c>
      <c r="Y216" s="23">
        <f t="shared" si="11"/>
        <v>0.97800261467629168</v>
      </c>
      <c r="AA216" s="23"/>
    </row>
    <row r="217" spans="1:27">
      <c r="A217">
        <v>212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17586</v>
      </c>
      <c r="L217">
        <v>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6</v>
      </c>
      <c r="T217">
        <v>0</v>
      </c>
      <c r="U217">
        <v>0</v>
      </c>
      <c r="V217">
        <v>47</v>
      </c>
      <c r="W217" s="22">
        <f t="shared" si="9"/>
        <v>17596</v>
      </c>
      <c r="X217" t="str">
        <f t="shared" si="10"/>
        <v>L</v>
      </c>
      <c r="Y217" s="23">
        <f t="shared" si="11"/>
        <v>0.99943168902023183</v>
      </c>
      <c r="AA217" s="23"/>
    </row>
    <row r="218" spans="1:27">
      <c r="A218">
        <v>213</v>
      </c>
      <c r="B218">
        <v>0</v>
      </c>
      <c r="C218">
        <v>0</v>
      </c>
      <c r="D218">
        <v>22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17509</v>
      </c>
      <c r="N218">
        <v>0</v>
      </c>
      <c r="O218">
        <v>0</v>
      </c>
      <c r="P218">
        <v>0</v>
      </c>
      <c r="Q218">
        <v>61</v>
      </c>
      <c r="R218">
        <v>0</v>
      </c>
      <c r="S218">
        <v>0</v>
      </c>
      <c r="T218">
        <v>0</v>
      </c>
      <c r="U218">
        <v>0</v>
      </c>
      <c r="V218">
        <v>47</v>
      </c>
      <c r="W218" s="22">
        <f t="shared" si="9"/>
        <v>17593</v>
      </c>
      <c r="X218" t="str">
        <f t="shared" si="10"/>
        <v>N</v>
      </c>
      <c r="Y218" s="23">
        <f t="shared" si="11"/>
        <v>0.99522537372818731</v>
      </c>
      <c r="AA218" s="23"/>
    </row>
    <row r="219" spans="1:27">
      <c r="A219">
        <v>214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17590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47</v>
      </c>
      <c r="W219" s="22">
        <f t="shared" si="9"/>
        <v>17594</v>
      </c>
      <c r="X219" t="str">
        <f t="shared" si="10"/>
        <v>K</v>
      </c>
      <c r="Y219" s="23">
        <f t="shared" si="11"/>
        <v>0.999772649766966</v>
      </c>
      <c r="AA219" s="23"/>
    </row>
    <row r="220" spans="1:27">
      <c r="A220">
        <v>215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17492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47</v>
      </c>
      <c r="W220" s="22">
        <f t="shared" si="9"/>
        <v>17594</v>
      </c>
      <c r="X220" t="str">
        <f t="shared" si="10"/>
        <v>R</v>
      </c>
      <c r="Y220" s="23">
        <f t="shared" si="11"/>
        <v>0.99420256905763327</v>
      </c>
      <c r="AA220" s="23"/>
    </row>
    <row r="221" spans="1:27" s="24" customFormat="1">
      <c r="A221" s="24">
        <v>216</v>
      </c>
      <c r="B221" s="24">
        <v>1</v>
      </c>
      <c r="C221" s="24">
        <v>3</v>
      </c>
      <c r="D221" s="24">
        <v>56</v>
      </c>
      <c r="E221" s="24">
        <v>0</v>
      </c>
      <c r="F221" s="24">
        <v>0</v>
      </c>
      <c r="G221" s="24">
        <v>17483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4">
        <v>0</v>
      </c>
      <c r="P221" s="24">
        <v>0</v>
      </c>
      <c r="Q221" s="24">
        <v>50</v>
      </c>
      <c r="R221" s="24">
        <v>0</v>
      </c>
      <c r="S221" s="24">
        <v>0</v>
      </c>
      <c r="T221" s="24">
        <v>0</v>
      </c>
      <c r="U221" s="24">
        <v>0</v>
      </c>
      <c r="V221" s="24">
        <v>47</v>
      </c>
      <c r="W221" s="24">
        <f t="shared" si="9"/>
        <v>17593</v>
      </c>
      <c r="X221" s="24" t="str">
        <f t="shared" si="10"/>
        <v>G</v>
      </c>
      <c r="Y221" s="25">
        <f t="shared" si="11"/>
        <v>0.99374751321548338</v>
      </c>
      <c r="AA221" s="25">
        <f>Q221/W221</f>
        <v>2.8420394475075312E-3</v>
      </c>
    </row>
    <row r="222" spans="1:27">
      <c r="A222">
        <v>217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17595</v>
      </c>
      <c r="V222">
        <v>46</v>
      </c>
      <c r="W222" s="22">
        <f t="shared" si="9"/>
        <v>17595</v>
      </c>
      <c r="X222" t="str">
        <f t="shared" si="10"/>
        <v>Y</v>
      </c>
      <c r="Y222" s="23">
        <f t="shared" si="11"/>
        <v>1</v>
      </c>
      <c r="AA222" s="23"/>
    </row>
    <row r="223" spans="1:27">
      <c r="A223">
        <v>218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10</v>
      </c>
      <c r="J223">
        <v>0</v>
      </c>
      <c r="K223">
        <v>17584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46</v>
      </c>
      <c r="W223" s="22">
        <f t="shared" si="9"/>
        <v>17594</v>
      </c>
      <c r="X223" t="str">
        <f t="shared" si="10"/>
        <v>L</v>
      </c>
      <c r="Y223" s="23">
        <f t="shared" si="11"/>
        <v>0.99943162441741507</v>
      </c>
      <c r="AA223" s="23"/>
    </row>
    <row r="224" spans="1:27">
      <c r="A224">
        <v>219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17587</v>
      </c>
      <c r="J224">
        <v>0</v>
      </c>
      <c r="K224">
        <v>4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46</v>
      </c>
      <c r="W224" s="22">
        <f t="shared" si="9"/>
        <v>17594</v>
      </c>
      <c r="X224" t="str">
        <f t="shared" si="10"/>
        <v>I</v>
      </c>
      <c r="Y224" s="23">
        <f t="shared" si="11"/>
        <v>0.99960213709219048</v>
      </c>
      <c r="AA224" s="23"/>
    </row>
    <row r="225" spans="1:27">
      <c r="A225">
        <v>220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17593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46</v>
      </c>
      <c r="W225" s="22">
        <f t="shared" si="9"/>
        <v>17594</v>
      </c>
      <c r="X225" t="str">
        <f t="shared" si="10"/>
        <v>R</v>
      </c>
      <c r="Y225" s="23">
        <f t="shared" si="11"/>
        <v>0.99994316244174153</v>
      </c>
      <c r="AA225" s="23"/>
    </row>
    <row r="226" spans="1:27">
      <c r="A226">
        <v>221</v>
      </c>
      <c r="B226">
        <v>17594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46</v>
      </c>
      <c r="W226" s="22">
        <f t="shared" si="9"/>
        <v>17596</v>
      </c>
      <c r="X226" t="str">
        <f t="shared" si="10"/>
        <v>A</v>
      </c>
      <c r="Y226" s="23">
        <f t="shared" si="11"/>
        <v>0.99988633780404634</v>
      </c>
      <c r="AA226" s="23"/>
    </row>
    <row r="227" spans="1:27">
      <c r="A227">
        <v>222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17598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46</v>
      </c>
      <c r="W227" s="22">
        <f t="shared" si="9"/>
        <v>17598</v>
      </c>
      <c r="X227" t="str">
        <f t="shared" si="10"/>
        <v>L</v>
      </c>
      <c r="Y227" s="23">
        <f t="shared" si="11"/>
        <v>1</v>
      </c>
      <c r="AA227" s="23"/>
    </row>
    <row r="228" spans="1:27">
      <c r="A228">
        <v>223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17597</v>
      </c>
      <c r="S228">
        <v>0</v>
      </c>
      <c r="T228">
        <v>0</v>
      </c>
      <c r="U228">
        <v>0</v>
      </c>
      <c r="V228">
        <v>45</v>
      </c>
      <c r="W228" s="22">
        <f t="shared" si="9"/>
        <v>17598</v>
      </c>
      <c r="X228" t="str">
        <f t="shared" si="10"/>
        <v>T</v>
      </c>
      <c r="Y228" s="23">
        <f t="shared" si="11"/>
        <v>0.99994317536083643</v>
      </c>
      <c r="AA228" s="23"/>
    </row>
    <row r="229" spans="1:27">
      <c r="A229">
        <v>224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17595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45</v>
      </c>
      <c r="W229" s="22">
        <f t="shared" si="9"/>
        <v>17595</v>
      </c>
      <c r="X229" t="str">
        <f t="shared" si="10"/>
        <v>L</v>
      </c>
      <c r="Y229" s="23">
        <f t="shared" si="11"/>
        <v>1</v>
      </c>
      <c r="AA229" s="23"/>
    </row>
    <row r="230" spans="1:27">
      <c r="A230">
        <v>225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17595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45</v>
      </c>
      <c r="W230" s="22">
        <f t="shared" si="9"/>
        <v>17595</v>
      </c>
      <c r="X230" t="str">
        <f t="shared" si="10"/>
        <v>N</v>
      </c>
      <c r="Y230" s="23">
        <f t="shared" si="11"/>
        <v>1</v>
      </c>
      <c r="AA230" s="23"/>
    </row>
    <row r="231" spans="1:27">
      <c r="A231">
        <v>226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1</v>
      </c>
      <c r="R231">
        <v>17594</v>
      </c>
      <c r="S231">
        <v>0</v>
      </c>
      <c r="T231">
        <v>0</v>
      </c>
      <c r="U231">
        <v>0</v>
      </c>
      <c r="V231">
        <v>45</v>
      </c>
      <c r="W231" s="22">
        <f t="shared" si="9"/>
        <v>17596</v>
      </c>
      <c r="X231" t="str">
        <f t="shared" si="10"/>
        <v>T</v>
      </c>
      <c r="Y231" s="23">
        <f t="shared" si="11"/>
        <v>0.99988633780404634</v>
      </c>
      <c r="AA231" s="23"/>
    </row>
    <row r="232" spans="1:27">
      <c r="A232">
        <v>227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17597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45</v>
      </c>
      <c r="W232" s="22">
        <f t="shared" si="9"/>
        <v>17598</v>
      </c>
      <c r="X232" t="str">
        <f t="shared" si="10"/>
        <v>M</v>
      </c>
      <c r="Y232" s="23">
        <f t="shared" si="11"/>
        <v>0.99994317536083643</v>
      </c>
      <c r="AA232" s="23"/>
    </row>
    <row r="233" spans="1:27">
      <c r="A233">
        <v>228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17596</v>
      </c>
      <c r="S233">
        <v>0</v>
      </c>
      <c r="T233">
        <v>0</v>
      </c>
      <c r="U233">
        <v>0</v>
      </c>
      <c r="V233">
        <v>45</v>
      </c>
      <c r="W233" s="22">
        <f t="shared" si="9"/>
        <v>17598</v>
      </c>
      <c r="X233" t="str">
        <f t="shared" si="10"/>
        <v>T</v>
      </c>
      <c r="Y233" s="23">
        <f t="shared" si="11"/>
        <v>0.99988635072167287</v>
      </c>
      <c r="AA233" s="23"/>
    </row>
    <row r="234" spans="1:27">
      <c r="A234">
        <v>229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17595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45</v>
      </c>
      <c r="W234" s="22">
        <f t="shared" si="9"/>
        <v>17597</v>
      </c>
      <c r="X234" t="str">
        <f t="shared" si="10"/>
        <v>K</v>
      </c>
      <c r="Y234" s="23">
        <f t="shared" si="11"/>
        <v>0.99988634426322665</v>
      </c>
      <c r="AA234" s="23"/>
    </row>
    <row r="235" spans="1:27">
      <c r="A235">
        <v>230</v>
      </c>
      <c r="B235">
        <v>0</v>
      </c>
      <c r="C235">
        <v>0</v>
      </c>
      <c r="D235">
        <v>17597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45</v>
      </c>
      <c r="W235" s="22">
        <f t="shared" si="9"/>
        <v>17598</v>
      </c>
      <c r="X235" t="str">
        <f t="shared" si="10"/>
        <v>D</v>
      </c>
      <c r="Y235" s="23">
        <f t="shared" si="11"/>
        <v>0.99994317536083643</v>
      </c>
      <c r="AA235" s="23"/>
    </row>
    <row r="236" spans="1:27">
      <c r="A236">
        <v>231</v>
      </c>
      <c r="B236">
        <v>17597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45</v>
      </c>
      <c r="W236" s="22">
        <f t="shared" si="9"/>
        <v>17598</v>
      </c>
      <c r="X236" t="str">
        <f t="shared" si="10"/>
        <v>A</v>
      </c>
      <c r="Y236" s="23">
        <f t="shared" si="11"/>
        <v>0.99994317536083643</v>
      </c>
      <c r="AA236" s="23"/>
    </row>
    <row r="237" spans="1:27">
      <c r="A237">
        <v>232</v>
      </c>
      <c r="B237">
        <v>0</v>
      </c>
      <c r="C237">
        <v>0</v>
      </c>
      <c r="D237">
        <v>0</v>
      </c>
      <c r="E237">
        <v>17597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45</v>
      </c>
      <c r="W237" s="22">
        <f t="shared" si="9"/>
        <v>17597</v>
      </c>
      <c r="X237" t="str">
        <f t="shared" si="10"/>
        <v>E</v>
      </c>
      <c r="Y237" s="23">
        <f t="shared" si="11"/>
        <v>1</v>
      </c>
      <c r="AA237" s="23"/>
    </row>
    <row r="238" spans="1:27">
      <c r="A238">
        <v>233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17597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45</v>
      </c>
      <c r="W238" s="22">
        <f t="shared" si="9"/>
        <v>17597</v>
      </c>
      <c r="X238" t="str">
        <f t="shared" si="10"/>
        <v>R</v>
      </c>
      <c r="Y238" s="23">
        <f t="shared" si="11"/>
        <v>1</v>
      </c>
      <c r="AA238" s="23"/>
    </row>
    <row r="239" spans="1:27">
      <c r="A239">
        <v>234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17596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45</v>
      </c>
      <c r="W239" s="22">
        <f t="shared" si="9"/>
        <v>17596</v>
      </c>
      <c r="X239" t="str">
        <f t="shared" si="10"/>
        <v>G</v>
      </c>
      <c r="Y239" s="23">
        <f t="shared" si="11"/>
        <v>1</v>
      </c>
      <c r="AA239" s="23"/>
    </row>
    <row r="240" spans="1:27">
      <c r="A240">
        <v>235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17595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45</v>
      </c>
      <c r="W240" s="22">
        <f t="shared" si="9"/>
        <v>17595</v>
      </c>
      <c r="X240" t="str">
        <f t="shared" si="10"/>
        <v>K</v>
      </c>
      <c r="Y240" s="23">
        <f t="shared" si="11"/>
        <v>1</v>
      </c>
      <c r="AA240" s="23"/>
    </row>
    <row r="241" spans="1:27">
      <c r="A241">
        <v>236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17593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45</v>
      </c>
      <c r="W241" s="22">
        <f t="shared" si="9"/>
        <v>17595</v>
      </c>
      <c r="X241" t="str">
        <f t="shared" si="10"/>
        <v>L</v>
      </c>
      <c r="Y241" s="23">
        <f t="shared" si="11"/>
        <v>0.99988633134413185</v>
      </c>
      <c r="AA241" s="23"/>
    </row>
    <row r="242" spans="1:27">
      <c r="A242">
        <v>237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2</v>
      </c>
      <c r="J242">
        <v>17592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45</v>
      </c>
      <c r="W242" s="22">
        <f t="shared" si="9"/>
        <v>17598</v>
      </c>
      <c r="X242" t="str">
        <f t="shared" si="10"/>
        <v>K</v>
      </c>
      <c r="Y242" s="23">
        <f t="shared" si="11"/>
        <v>0.99965905216501871</v>
      </c>
      <c r="AA242" s="23"/>
    </row>
    <row r="243" spans="1:27">
      <c r="A243">
        <v>238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17596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45</v>
      </c>
      <c r="W243" s="22">
        <f t="shared" si="9"/>
        <v>17596</v>
      </c>
      <c r="X243" t="str">
        <f t="shared" si="10"/>
        <v>R</v>
      </c>
      <c r="Y243" s="23">
        <f t="shared" si="11"/>
        <v>1</v>
      </c>
      <c r="AA243" s="23"/>
    </row>
    <row r="244" spans="1:27">
      <c r="A244">
        <v>239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17594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45</v>
      </c>
      <c r="W244" s="22">
        <f t="shared" si="9"/>
        <v>17594</v>
      </c>
      <c r="X244" t="str">
        <f t="shared" si="10"/>
        <v>R</v>
      </c>
      <c r="Y244" s="23">
        <f t="shared" si="11"/>
        <v>1</v>
      </c>
      <c r="AA244" s="23"/>
    </row>
    <row r="245" spans="1:27">
      <c r="A245">
        <v>240</v>
      </c>
      <c r="B245">
        <v>17597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45</v>
      </c>
      <c r="W245" s="22">
        <f t="shared" si="9"/>
        <v>17598</v>
      </c>
      <c r="X245" t="str">
        <f t="shared" si="10"/>
        <v>A</v>
      </c>
      <c r="Y245" s="23">
        <f t="shared" si="11"/>
        <v>0.99994317536083643</v>
      </c>
      <c r="AA245" s="23"/>
    </row>
    <row r="246" spans="1:27">
      <c r="A246">
        <v>241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17595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45</v>
      </c>
      <c r="W246" s="22">
        <f t="shared" si="9"/>
        <v>17595</v>
      </c>
      <c r="X246" t="str">
        <f t="shared" si="10"/>
        <v>I</v>
      </c>
      <c r="Y246" s="23">
        <f t="shared" si="11"/>
        <v>1</v>
      </c>
      <c r="AA246" s="23"/>
    </row>
    <row r="247" spans="1:27">
      <c r="A247">
        <v>242</v>
      </c>
      <c r="B247">
        <v>17598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45</v>
      </c>
      <c r="W247" s="22">
        <f t="shared" si="9"/>
        <v>17598</v>
      </c>
      <c r="X247" t="str">
        <f t="shared" si="10"/>
        <v>A</v>
      </c>
      <c r="Y247" s="23">
        <f t="shared" si="11"/>
        <v>1</v>
      </c>
      <c r="AA247" s="23"/>
    </row>
    <row r="248" spans="1:27">
      <c r="A248">
        <v>243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17597</v>
      </c>
      <c r="S248">
        <v>0</v>
      </c>
      <c r="T248">
        <v>0</v>
      </c>
      <c r="U248">
        <v>0</v>
      </c>
      <c r="V248">
        <v>45</v>
      </c>
      <c r="W248" s="22">
        <f t="shared" si="9"/>
        <v>17597</v>
      </c>
      <c r="X248" t="str">
        <f t="shared" si="10"/>
        <v>T</v>
      </c>
      <c r="Y248" s="23">
        <f t="shared" si="11"/>
        <v>1</v>
      </c>
      <c r="AA248" s="23"/>
    </row>
    <row r="249" spans="1:27">
      <c r="A249">
        <v>244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17594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45</v>
      </c>
      <c r="W249" s="22">
        <f t="shared" si="9"/>
        <v>17595</v>
      </c>
      <c r="X249" t="str">
        <f t="shared" si="10"/>
        <v>P</v>
      </c>
      <c r="Y249" s="23">
        <f t="shared" si="11"/>
        <v>0.99994316567206598</v>
      </c>
      <c r="AA249" s="23"/>
    </row>
    <row r="250" spans="1:27">
      <c r="A250">
        <v>245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17594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45</v>
      </c>
      <c r="W250" s="22">
        <f t="shared" si="9"/>
        <v>17594</v>
      </c>
      <c r="X250" t="str">
        <f t="shared" si="10"/>
        <v>G</v>
      </c>
      <c r="Y250" s="23">
        <f t="shared" si="11"/>
        <v>1</v>
      </c>
      <c r="AA250" s="23"/>
    </row>
    <row r="251" spans="1:27">
      <c r="A251">
        <v>246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17596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45</v>
      </c>
      <c r="W251" s="22">
        <f t="shared" si="9"/>
        <v>17597</v>
      </c>
      <c r="X251" t="str">
        <f t="shared" si="10"/>
        <v>M</v>
      </c>
      <c r="Y251" s="23">
        <f t="shared" si="11"/>
        <v>0.99994317213161332</v>
      </c>
      <c r="AA251" s="23"/>
    </row>
    <row r="252" spans="1:27">
      <c r="A252">
        <v>247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17598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45</v>
      </c>
      <c r="W252" s="22">
        <f t="shared" si="9"/>
        <v>17598</v>
      </c>
      <c r="X252" t="str">
        <f t="shared" si="10"/>
        <v>Q</v>
      </c>
      <c r="Y252" s="23">
        <f t="shared" si="11"/>
        <v>1</v>
      </c>
      <c r="AA252" s="23"/>
    </row>
    <row r="253" spans="1:27">
      <c r="A253">
        <v>248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17592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4</v>
      </c>
      <c r="S253">
        <v>0</v>
      </c>
      <c r="T253">
        <v>0</v>
      </c>
      <c r="U253">
        <v>0</v>
      </c>
      <c r="V253">
        <v>45</v>
      </c>
      <c r="W253" s="22">
        <f t="shared" si="9"/>
        <v>17597</v>
      </c>
      <c r="X253" t="str">
        <f t="shared" si="10"/>
        <v>I</v>
      </c>
      <c r="Y253" s="23">
        <f t="shared" si="11"/>
        <v>0.99971586065806672</v>
      </c>
      <c r="AA253" s="23"/>
    </row>
    <row r="254" spans="1:27">
      <c r="A254">
        <v>249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17598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45</v>
      </c>
      <c r="W254" s="22">
        <f t="shared" si="9"/>
        <v>17598</v>
      </c>
      <c r="X254" t="str">
        <f t="shared" si="10"/>
        <v>R</v>
      </c>
      <c r="Y254" s="23">
        <f t="shared" si="11"/>
        <v>1</v>
      </c>
      <c r="AA254" s="23"/>
    </row>
    <row r="255" spans="1:27">
      <c r="A255">
        <v>250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17595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45</v>
      </c>
      <c r="W255" s="22">
        <f t="shared" si="9"/>
        <v>17595</v>
      </c>
      <c r="X255" t="str">
        <f t="shared" si="10"/>
        <v>G</v>
      </c>
      <c r="Y255" s="23">
        <f t="shared" si="11"/>
        <v>1</v>
      </c>
      <c r="AA255" s="23"/>
    </row>
    <row r="256" spans="1:27">
      <c r="A256">
        <v>251</v>
      </c>
      <c r="B256">
        <v>0</v>
      </c>
      <c r="C256">
        <v>0</v>
      </c>
      <c r="D256">
        <v>0</v>
      </c>
      <c r="E256">
        <v>0</v>
      </c>
      <c r="F256">
        <v>17597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45</v>
      </c>
      <c r="W256" s="22">
        <f t="shared" si="9"/>
        <v>17598</v>
      </c>
      <c r="X256" t="str">
        <f t="shared" si="10"/>
        <v>F</v>
      </c>
      <c r="Y256" s="23">
        <f t="shared" si="11"/>
        <v>0.99994317536083643</v>
      </c>
      <c r="AA256" s="23"/>
    </row>
    <row r="257" spans="1:35">
      <c r="A257">
        <v>252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17597</v>
      </c>
      <c r="T257">
        <v>0</v>
      </c>
      <c r="U257">
        <v>0</v>
      </c>
      <c r="V257">
        <v>45</v>
      </c>
      <c r="W257" s="22">
        <f t="shared" si="9"/>
        <v>17598</v>
      </c>
      <c r="X257" t="str">
        <f t="shared" si="10"/>
        <v>V</v>
      </c>
      <c r="Y257" s="23">
        <f t="shared" si="11"/>
        <v>0.99994317536083643</v>
      </c>
      <c r="AA257" s="23"/>
    </row>
    <row r="258" spans="1:35">
      <c r="A258">
        <v>253</v>
      </c>
      <c r="B258">
        <v>0</v>
      </c>
      <c r="C258">
        <v>1</v>
      </c>
      <c r="D258">
        <v>1</v>
      </c>
      <c r="E258">
        <v>0</v>
      </c>
      <c r="F258">
        <v>3</v>
      </c>
      <c r="G258">
        <v>0</v>
      </c>
      <c r="H258">
        <v>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17584</v>
      </c>
      <c r="V258">
        <v>45</v>
      </c>
      <c r="W258" s="22">
        <f t="shared" si="9"/>
        <v>17595</v>
      </c>
      <c r="X258" t="str">
        <f t="shared" si="10"/>
        <v>Y</v>
      </c>
      <c r="Y258" s="23">
        <f t="shared" si="11"/>
        <v>0.99937482239272524</v>
      </c>
      <c r="AA258" s="23"/>
    </row>
    <row r="259" spans="1:35">
      <c r="A259">
        <v>254</v>
      </c>
      <c r="B259">
        <v>0</v>
      </c>
      <c r="C259">
        <v>0</v>
      </c>
      <c r="D259">
        <v>0</v>
      </c>
      <c r="E259">
        <v>0</v>
      </c>
      <c r="F259">
        <v>17592</v>
      </c>
      <c r="G259">
        <v>0</v>
      </c>
      <c r="H259">
        <v>0</v>
      </c>
      <c r="I259">
        <v>0</v>
      </c>
      <c r="J259">
        <v>0</v>
      </c>
      <c r="K259">
        <v>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45</v>
      </c>
      <c r="W259" s="22">
        <f t="shared" si="9"/>
        <v>17597</v>
      </c>
      <c r="X259" t="str">
        <f t="shared" si="10"/>
        <v>F</v>
      </c>
      <c r="Y259" s="23">
        <f t="shared" si="11"/>
        <v>0.99971586065806672</v>
      </c>
      <c r="AA259" s="23"/>
    </row>
    <row r="260" spans="1:35">
      <c r="A260">
        <v>255</v>
      </c>
      <c r="B260">
        <v>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17594</v>
      </c>
      <c r="T260">
        <v>0</v>
      </c>
      <c r="U260">
        <v>0</v>
      </c>
      <c r="V260">
        <v>45</v>
      </c>
      <c r="W260" s="22">
        <f t="shared" si="9"/>
        <v>17597</v>
      </c>
      <c r="X260" t="str">
        <f t="shared" si="10"/>
        <v>V</v>
      </c>
      <c r="Y260" s="23">
        <f t="shared" si="11"/>
        <v>0.99982951639484008</v>
      </c>
      <c r="AA260" s="23"/>
    </row>
    <row r="261" spans="1:35">
      <c r="A261">
        <v>256</v>
      </c>
      <c r="B261">
        <v>0</v>
      </c>
      <c r="C261">
        <v>0</v>
      </c>
      <c r="D261">
        <v>1</v>
      </c>
      <c r="E261">
        <v>17595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45</v>
      </c>
      <c r="W261" s="22">
        <f t="shared" si="9"/>
        <v>17596</v>
      </c>
      <c r="X261" t="str">
        <f t="shared" si="10"/>
        <v>E</v>
      </c>
      <c r="Y261" s="23">
        <f t="shared" si="11"/>
        <v>0.99994316890202317</v>
      </c>
      <c r="AA261" s="23"/>
    </row>
    <row r="262" spans="1:35">
      <c r="A262" s="24">
        <v>257</v>
      </c>
      <c r="B262" s="24">
        <v>77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1</v>
      </c>
      <c r="I262" s="24">
        <v>8</v>
      </c>
      <c r="J262" s="24">
        <v>0</v>
      </c>
      <c r="K262" s="24">
        <v>0</v>
      </c>
      <c r="L262" s="24">
        <v>0</v>
      </c>
      <c r="M262" s="24">
        <v>5</v>
      </c>
      <c r="N262" s="24">
        <v>0</v>
      </c>
      <c r="O262" s="24">
        <v>0</v>
      </c>
      <c r="P262" s="24">
        <v>0</v>
      </c>
      <c r="Q262" s="24">
        <v>2</v>
      </c>
      <c r="R262" s="24">
        <v>17500</v>
      </c>
      <c r="S262" s="24">
        <v>0</v>
      </c>
      <c r="T262" s="24">
        <v>0</v>
      </c>
      <c r="U262" s="24">
        <v>0</v>
      </c>
      <c r="V262" s="24">
        <v>45</v>
      </c>
      <c r="W262" s="24">
        <f t="shared" ref="W262:W325" si="12">SUM(B262:U262)</f>
        <v>17593</v>
      </c>
      <c r="X262" s="24" t="str">
        <f t="shared" ref="X262:X325" si="13">INDEX(($B$4:$U$4),MATCH(LARGE(B262:U262,1),B262:U262,0))</f>
        <v>T</v>
      </c>
      <c r="Y262" s="25">
        <f t="shared" ref="Y262:Y325" si="14">(MAX(B262:U262))/W262</f>
        <v>0.99471380662763598</v>
      </c>
      <c r="Z262" s="24"/>
      <c r="AA262" s="25">
        <f>B262/W262</f>
        <v>4.3767407491615987E-3</v>
      </c>
      <c r="AB262" s="24"/>
      <c r="AC262" s="24"/>
      <c r="AD262" s="24"/>
      <c r="AE262" s="24"/>
      <c r="AF262" s="24"/>
      <c r="AG262" s="24"/>
      <c r="AH262" s="24"/>
      <c r="AI262" s="24"/>
    </row>
    <row r="263" spans="1:35">
      <c r="A263">
        <v>258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17594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45</v>
      </c>
      <c r="W263" s="22">
        <f t="shared" si="12"/>
        <v>17594</v>
      </c>
      <c r="X263" t="str">
        <f t="shared" si="13"/>
        <v>L</v>
      </c>
      <c r="Y263" s="23">
        <f t="shared" si="14"/>
        <v>1</v>
      </c>
      <c r="AA263" s="23"/>
    </row>
    <row r="264" spans="1:35">
      <c r="A264">
        <v>259</v>
      </c>
      <c r="B264">
        <v>17595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45</v>
      </c>
      <c r="W264" s="22">
        <f t="shared" si="12"/>
        <v>17595</v>
      </c>
      <c r="X264" t="str">
        <f t="shared" si="13"/>
        <v>A</v>
      </c>
      <c r="Y264" s="23">
        <f t="shared" si="14"/>
        <v>1</v>
      </c>
      <c r="AA264" s="23"/>
    </row>
    <row r="265" spans="1:35">
      <c r="A265">
        <v>260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10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17582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45</v>
      </c>
      <c r="W265" s="22">
        <f t="shared" si="12"/>
        <v>17593</v>
      </c>
      <c r="X265" t="str">
        <f t="shared" si="13"/>
        <v>R</v>
      </c>
      <c r="Y265" s="23">
        <f t="shared" si="14"/>
        <v>0.99937475132154829</v>
      </c>
      <c r="AA265" s="23"/>
    </row>
    <row r="266" spans="1:35">
      <c r="A266">
        <v>261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3</v>
      </c>
      <c r="H266">
        <v>0</v>
      </c>
      <c r="I266">
        <v>3</v>
      </c>
      <c r="J266">
        <v>0</v>
      </c>
      <c r="K266">
        <v>0</v>
      </c>
      <c r="L266">
        <v>0</v>
      </c>
      <c r="M266">
        <v>69</v>
      </c>
      <c r="N266">
        <v>0</v>
      </c>
      <c r="O266">
        <v>0</v>
      </c>
      <c r="P266">
        <v>2</v>
      </c>
      <c r="Q266">
        <v>17516</v>
      </c>
      <c r="R266">
        <v>2</v>
      </c>
      <c r="S266">
        <v>0</v>
      </c>
      <c r="T266">
        <v>0</v>
      </c>
      <c r="U266">
        <v>0</v>
      </c>
      <c r="V266">
        <v>45</v>
      </c>
      <c r="W266" s="22">
        <f t="shared" si="12"/>
        <v>17595</v>
      </c>
      <c r="X266" t="str">
        <f t="shared" si="13"/>
        <v>S</v>
      </c>
      <c r="Y266" s="23">
        <f t="shared" si="14"/>
        <v>0.99551008809320829</v>
      </c>
      <c r="AA266" s="23"/>
    </row>
    <row r="267" spans="1:35">
      <c r="A267">
        <v>262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17587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8</v>
      </c>
      <c r="T267">
        <v>0</v>
      </c>
      <c r="U267">
        <v>0</v>
      </c>
      <c r="V267">
        <v>45</v>
      </c>
      <c r="W267" s="22">
        <f t="shared" si="12"/>
        <v>17595</v>
      </c>
      <c r="X267" t="str">
        <f t="shared" si="13"/>
        <v>I</v>
      </c>
      <c r="Y267" s="23">
        <f t="shared" si="14"/>
        <v>0.9995453253765274</v>
      </c>
      <c r="AA267" s="23"/>
    </row>
    <row r="268" spans="1:35">
      <c r="A268">
        <v>263</v>
      </c>
      <c r="B268">
        <v>0</v>
      </c>
      <c r="C268">
        <v>17594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45</v>
      </c>
      <c r="W268" s="22">
        <f t="shared" si="12"/>
        <v>17595</v>
      </c>
      <c r="X268" t="str">
        <f t="shared" si="13"/>
        <v>C</v>
      </c>
      <c r="Y268" s="23">
        <f t="shared" si="14"/>
        <v>0.99994316567206598</v>
      </c>
      <c r="AA268" s="23"/>
    </row>
    <row r="269" spans="1:35">
      <c r="A269">
        <v>264</v>
      </c>
      <c r="B269">
        <v>0</v>
      </c>
      <c r="C269">
        <v>0</v>
      </c>
      <c r="D269">
        <v>0</v>
      </c>
      <c r="E269">
        <v>17554</v>
      </c>
      <c r="F269">
        <v>0</v>
      </c>
      <c r="G269">
        <v>41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45</v>
      </c>
      <c r="W269" s="22">
        <f t="shared" si="12"/>
        <v>17596</v>
      </c>
      <c r="X269" t="str">
        <f t="shared" si="13"/>
        <v>E</v>
      </c>
      <c r="Y269" s="23">
        <f t="shared" si="14"/>
        <v>0.99761309388497388</v>
      </c>
      <c r="AA269" s="23"/>
    </row>
    <row r="270" spans="1:35">
      <c r="A270">
        <v>265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17589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45</v>
      </c>
      <c r="W270" s="22">
        <f t="shared" si="12"/>
        <v>17594</v>
      </c>
      <c r="X270" t="str">
        <f t="shared" si="13"/>
        <v>K</v>
      </c>
      <c r="Y270" s="23">
        <f t="shared" si="14"/>
        <v>0.99971581220870753</v>
      </c>
      <c r="AA270" s="23"/>
    </row>
    <row r="271" spans="1:35">
      <c r="A271">
        <v>266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17594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45</v>
      </c>
      <c r="W271" s="22">
        <f t="shared" si="12"/>
        <v>17595</v>
      </c>
      <c r="X271" t="str">
        <f t="shared" si="13"/>
        <v>L</v>
      </c>
      <c r="Y271" s="23">
        <f t="shared" si="14"/>
        <v>0.99994316567206598</v>
      </c>
      <c r="AA271" s="23"/>
    </row>
    <row r="272" spans="1:35">
      <c r="A272">
        <v>267</v>
      </c>
      <c r="B272">
        <v>0</v>
      </c>
      <c r="C272">
        <v>0</v>
      </c>
      <c r="D272">
        <v>0</v>
      </c>
      <c r="E272">
        <v>17593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45</v>
      </c>
      <c r="W272" s="22">
        <f t="shared" si="12"/>
        <v>17595</v>
      </c>
      <c r="X272" t="str">
        <f t="shared" si="13"/>
        <v>E</v>
      </c>
      <c r="Y272" s="23">
        <f t="shared" si="14"/>
        <v>0.99988633134413185</v>
      </c>
      <c r="AA272" s="23"/>
    </row>
    <row r="273" spans="1:27">
      <c r="A273">
        <v>268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17588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45</v>
      </c>
      <c r="W273" s="22">
        <f t="shared" si="12"/>
        <v>17592</v>
      </c>
      <c r="X273" t="str">
        <f t="shared" si="13"/>
        <v>Q</v>
      </c>
      <c r="Y273" s="23">
        <f t="shared" si="14"/>
        <v>0.99977262391996358</v>
      </c>
      <c r="AA273" s="23"/>
    </row>
    <row r="274" spans="1:27">
      <c r="A274">
        <v>269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17592</v>
      </c>
      <c r="R274">
        <v>0</v>
      </c>
      <c r="S274">
        <v>0</v>
      </c>
      <c r="T274">
        <v>0</v>
      </c>
      <c r="U274">
        <v>0</v>
      </c>
      <c r="V274">
        <v>45</v>
      </c>
      <c r="W274" s="22">
        <f t="shared" si="12"/>
        <v>17594</v>
      </c>
      <c r="X274" t="str">
        <f t="shared" si="13"/>
        <v>S</v>
      </c>
      <c r="Y274" s="23">
        <f t="shared" si="14"/>
        <v>0.99988632488348306</v>
      </c>
      <c r="AA274" s="23"/>
    </row>
    <row r="275" spans="1:27">
      <c r="A275">
        <v>270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17596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45</v>
      </c>
      <c r="W275" s="22">
        <f t="shared" si="12"/>
        <v>17596</v>
      </c>
      <c r="X275" t="str">
        <f t="shared" si="13"/>
        <v>G</v>
      </c>
      <c r="Y275" s="23">
        <f t="shared" si="14"/>
        <v>1</v>
      </c>
      <c r="AA275" s="23"/>
    </row>
    <row r="276" spans="1:27">
      <c r="A276">
        <v>271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17591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45</v>
      </c>
      <c r="W276" s="22">
        <f t="shared" si="12"/>
        <v>17592</v>
      </c>
      <c r="X276" t="str">
        <f t="shared" si="13"/>
        <v>L</v>
      </c>
      <c r="Y276" s="23">
        <f t="shared" si="14"/>
        <v>0.99994315597999095</v>
      </c>
      <c r="AA276" s="23"/>
    </row>
    <row r="277" spans="1:27">
      <c r="A277">
        <v>272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17593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45</v>
      </c>
      <c r="W277" s="22">
        <f t="shared" si="12"/>
        <v>17593</v>
      </c>
      <c r="X277" t="str">
        <f t="shared" si="13"/>
        <v>P</v>
      </c>
      <c r="Y277" s="23">
        <f t="shared" si="14"/>
        <v>1</v>
      </c>
      <c r="AA277" s="23"/>
    </row>
    <row r="278" spans="1:27">
      <c r="A278">
        <v>273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17590</v>
      </c>
      <c r="T278">
        <v>0</v>
      </c>
      <c r="U278">
        <v>0</v>
      </c>
      <c r="V278">
        <v>45</v>
      </c>
      <c r="W278" s="22">
        <f t="shared" si="12"/>
        <v>17593</v>
      </c>
      <c r="X278" t="str">
        <f t="shared" si="13"/>
        <v>V</v>
      </c>
      <c r="Y278" s="23">
        <f t="shared" si="14"/>
        <v>0.99982947763314955</v>
      </c>
      <c r="AA278" s="23"/>
    </row>
    <row r="279" spans="1:27">
      <c r="A279">
        <v>274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17591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45</v>
      </c>
      <c r="W279" s="22">
        <f t="shared" si="12"/>
        <v>17592</v>
      </c>
      <c r="X279" t="str">
        <f t="shared" si="13"/>
        <v>G</v>
      </c>
      <c r="Y279" s="23">
        <f t="shared" si="14"/>
        <v>0.99994315597999095</v>
      </c>
      <c r="AA279" s="23"/>
    </row>
    <row r="280" spans="1:27">
      <c r="A280">
        <v>275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17596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45</v>
      </c>
      <c r="W280" s="22">
        <f t="shared" si="12"/>
        <v>17596</v>
      </c>
      <c r="X280" t="str">
        <f t="shared" si="13"/>
        <v>G</v>
      </c>
      <c r="Y280" s="23">
        <f t="shared" si="14"/>
        <v>1</v>
      </c>
      <c r="AA280" s="23"/>
    </row>
    <row r="281" spans="1:27">
      <c r="A281">
        <v>276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17596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45</v>
      </c>
      <c r="W281" s="22">
        <f t="shared" si="12"/>
        <v>17596</v>
      </c>
      <c r="X281" t="str">
        <f t="shared" si="13"/>
        <v>N</v>
      </c>
      <c r="Y281" s="23">
        <f t="shared" si="14"/>
        <v>1</v>
      </c>
      <c r="AA281" s="23"/>
    </row>
    <row r="282" spans="1:27">
      <c r="A282">
        <v>277</v>
      </c>
      <c r="B282">
        <v>0</v>
      </c>
      <c r="C282">
        <v>0</v>
      </c>
      <c r="D282">
        <v>0</v>
      </c>
      <c r="E282">
        <v>17592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45</v>
      </c>
      <c r="W282" s="22">
        <f t="shared" si="12"/>
        <v>17592</v>
      </c>
      <c r="X282" t="str">
        <f t="shared" si="13"/>
        <v>E</v>
      </c>
      <c r="Y282" s="23">
        <f t="shared" si="14"/>
        <v>1</v>
      </c>
      <c r="AA282" s="23"/>
    </row>
    <row r="283" spans="1:27">
      <c r="A283">
        <v>278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17590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45</v>
      </c>
      <c r="W283" s="22">
        <f t="shared" si="12"/>
        <v>17592</v>
      </c>
      <c r="X283" t="str">
        <f t="shared" si="13"/>
        <v>K</v>
      </c>
      <c r="Y283" s="23">
        <f t="shared" si="14"/>
        <v>0.99988631195998179</v>
      </c>
      <c r="AA283" s="23"/>
    </row>
    <row r="284" spans="1:27">
      <c r="A284">
        <v>279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17591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45</v>
      </c>
      <c r="W284" s="22">
        <f t="shared" si="12"/>
        <v>17591</v>
      </c>
      <c r="X284" t="str">
        <f t="shared" si="13"/>
        <v>K</v>
      </c>
      <c r="Y284" s="23">
        <f t="shared" si="14"/>
        <v>1</v>
      </c>
      <c r="AA284" s="23"/>
    </row>
    <row r="285" spans="1:27">
      <c r="A285">
        <v>280</v>
      </c>
      <c r="B285">
        <v>17595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45</v>
      </c>
      <c r="W285" s="22">
        <f t="shared" si="12"/>
        <v>17596</v>
      </c>
      <c r="X285" t="str">
        <f t="shared" si="13"/>
        <v>A</v>
      </c>
      <c r="Y285" s="23">
        <f t="shared" si="14"/>
        <v>0.99994316890202317</v>
      </c>
      <c r="AA285" s="23"/>
    </row>
    <row r="286" spans="1:27">
      <c r="A286">
        <v>281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17594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45</v>
      </c>
      <c r="W286" s="22">
        <f t="shared" si="12"/>
        <v>17595</v>
      </c>
      <c r="X286" t="str">
        <f t="shared" si="13"/>
        <v>K</v>
      </c>
      <c r="Y286" s="23">
        <f t="shared" si="14"/>
        <v>0.99994316567206598</v>
      </c>
      <c r="AA286" s="23"/>
    </row>
    <row r="287" spans="1:27">
      <c r="A287">
        <v>282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17595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45</v>
      </c>
      <c r="W287" s="22">
        <f t="shared" si="12"/>
        <v>17596</v>
      </c>
      <c r="X287" t="str">
        <f t="shared" si="13"/>
        <v>L</v>
      </c>
      <c r="Y287" s="23">
        <f t="shared" si="14"/>
        <v>0.99994316890202317</v>
      </c>
      <c r="AA287" s="23"/>
    </row>
    <row r="288" spans="1:27">
      <c r="A288">
        <v>283</v>
      </c>
      <c r="B288">
        <v>17596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45</v>
      </c>
      <c r="W288" s="22">
        <f t="shared" si="12"/>
        <v>17596</v>
      </c>
      <c r="X288" t="str">
        <f t="shared" si="13"/>
        <v>A</v>
      </c>
      <c r="Y288" s="23">
        <f t="shared" si="14"/>
        <v>1</v>
      </c>
      <c r="AA288" s="23"/>
    </row>
    <row r="289" spans="1:35">
      <c r="A289">
        <v>284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17597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45</v>
      </c>
      <c r="W289" s="22">
        <f t="shared" si="12"/>
        <v>17597</v>
      </c>
      <c r="X289" t="str">
        <f t="shared" si="13"/>
        <v>N</v>
      </c>
      <c r="Y289" s="23">
        <f t="shared" si="14"/>
        <v>1</v>
      </c>
      <c r="AA289" s="23"/>
    </row>
    <row r="290" spans="1:35">
      <c r="A290">
        <v>285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17595</v>
      </c>
      <c r="T290">
        <v>0</v>
      </c>
      <c r="U290">
        <v>0</v>
      </c>
      <c r="V290">
        <v>45</v>
      </c>
      <c r="W290" s="22">
        <f t="shared" si="12"/>
        <v>17595</v>
      </c>
      <c r="X290" t="str">
        <f t="shared" si="13"/>
        <v>V</v>
      </c>
      <c r="Y290" s="23">
        <f t="shared" si="14"/>
        <v>1</v>
      </c>
      <c r="AA290" s="23"/>
    </row>
    <row r="291" spans="1:35">
      <c r="A291">
        <v>286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17593</v>
      </c>
      <c r="T291">
        <v>0</v>
      </c>
      <c r="U291">
        <v>0</v>
      </c>
      <c r="V291">
        <v>45</v>
      </c>
      <c r="W291" s="22">
        <f t="shared" si="12"/>
        <v>17597</v>
      </c>
      <c r="X291" t="str">
        <f t="shared" si="13"/>
        <v>V</v>
      </c>
      <c r="Y291" s="23">
        <f t="shared" si="14"/>
        <v>0.9997726885264534</v>
      </c>
      <c r="AA291" s="23"/>
    </row>
    <row r="292" spans="1:35">
      <c r="A292">
        <v>287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17594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45</v>
      </c>
      <c r="W292" s="22">
        <f t="shared" si="12"/>
        <v>17597</v>
      </c>
      <c r="X292" t="str">
        <f t="shared" si="13"/>
        <v>R</v>
      </c>
      <c r="Y292" s="23">
        <f t="shared" si="14"/>
        <v>0.99982951639484008</v>
      </c>
      <c r="AA292" s="23"/>
    </row>
    <row r="293" spans="1:35">
      <c r="A293">
        <v>288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17593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45</v>
      </c>
      <c r="W293" s="22">
        <f t="shared" si="12"/>
        <v>17593</v>
      </c>
      <c r="X293" t="str">
        <f t="shared" si="13"/>
        <v>K</v>
      </c>
      <c r="Y293" s="23">
        <f t="shared" si="14"/>
        <v>1</v>
      </c>
      <c r="AA293" s="23"/>
    </row>
    <row r="294" spans="1:35">
      <c r="A294">
        <v>289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17597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45</v>
      </c>
      <c r="W294" s="22">
        <f t="shared" si="12"/>
        <v>17597</v>
      </c>
      <c r="X294" t="str">
        <f t="shared" si="13"/>
        <v>M</v>
      </c>
      <c r="Y294" s="23">
        <f t="shared" si="14"/>
        <v>1</v>
      </c>
      <c r="AA294" s="23"/>
    </row>
    <row r="295" spans="1:35">
      <c r="A295">
        <v>290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0</v>
      </c>
      <c r="K295">
        <v>0</v>
      </c>
      <c r="L295">
        <v>17591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</v>
      </c>
      <c r="T295">
        <v>0</v>
      </c>
      <c r="U295">
        <v>0</v>
      </c>
      <c r="V295">
        <v>45</v>
      </c>
      <c r="W295" s="22">
        <f t="shared" si="12"/>
        <v>17595</v>
      </c>
      <c r="X295" t="str">
        <f t="shared" si="13"/>
        <v>M</v>
      </c>
      <c r="Y295" s="23">
        <f t="shared" si="14"/>
        <v>0.9997726626882637</v>
      </c>
      <c r="AA295" s="23"/>
    </row>
    <row r="296" spans="1:35">
      <c r="A296">
        <v>291</v>
      </c>
      <c r="B296">
        <v>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1</v>
      </c>
      <c r="R296">
        <v>17582</v>
      </c>
      <c r="S296">
        <v>0</v>
      </c>
      <c r="T296">
        <v>0</v>
      </c>
      <c r="U296">
        <v>0</v>
      </c>
      <c r="V296">
        <v>45</v>
      </c>
      <c r="W296" s="22">
        <f t="shared" si="12"/>
        <v>17593</v>
      </c>
      <c r="X296" t="str">
        <f t="shared" si="13"/>
        <v>T</v>
      </c>
      <c r="Y296" s="23">
        <f t="shared" si="14"/>
        <v>0.99937475132154829</v>
      </c>
      <c r="AA296" s="23"/>
    </row>
    <row r="297" spans="1:35">
      <c r="A297">
        <v>292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17579</v>
      </c>
      <c r="N297">
        <v>0</v>
      </c>
      <c r="O297">
        <v>0</v>
      </c>
      <c r="P297">
        <v>0</v>
      </c>
      <c r="Q297">
        <v>11</v>
      </c>
      <c r="R297">
        <v>0</v>
      </c>
      <c r="S297">
        <v>0</v>
      </c>
      <c r="T297">
        <v>0</v>
      </c>
      <c r="U297">
        <v>1</v>
      </c>
      <c r="V297">
        <v>45</v>
      </c>
      <c r="W297" s="22">
        <f t="shared" si="12"/>
        <v>17592</v>
      </c>
      <c r="X297" t="str">
        <f t="shared" si="13"/>
        <v>N</v>
      </c>
      <c r="Y297" s="23">
        <f t="shared" si="14"/>
        <v>0.99926102773988179</v>
      </c>
      <c r="AA297" s="23"/>
    </row>
    <row r="298" spans="1:35">
      <c r="A298">
        <v>293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17591</v>
      </c>
      <c r="R298">
        <v>1</v>
      </c>
      <c r="S298">
        <v>0</v>
      </c>
      <c r="T298">
        <v>0</v>
      </c>
      <c r="U298">
        <v>0</v>
      </c>
      <c r="V298">
        <v>45</v>
      </c>
      <c r="W298" s="22">
        <f t="shared" si="12"/>
        <v>17594</v>
      </c>
      <c r="X298" t="str">
        <f t="shared" si="13"/>
        <v>S</v>
      </c>
      <c r="Y298" s="23">
        <f t="shared" si="14"/>
        <v>0.99982948732522448</v>
      </c>
      <c r="AA298" s="23"/>
    </row>
    <row r="299" spans="1:35">
      <c r="A299">
        <v>294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17592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45</v>
      </c>
      <c r="W299" s="22">
        <f t="shared" si="12"/>
        <v>17596</v>
      </c>
      <c r="X299" t="str">
        <f t="shared" si="13"/>
        <v>Q</v>
      </c>
      <c r="Y299" s="23">
        <f t="shared" si="14"/>
        <v>0.9997726756080928</v>
      </c>
      <c r="AA299" s="23"/>
    </row>
    <row r="300" spans="1:35">
      <c r="A300">
        <v>295</v>
      </c>
      <c r="B300">
        <v>0</v>
      </c>
      <c r="C300">
        <v>0</v>
      </c>
      <c r="D300">
        <v>17592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45</v>
      </c>
      <c r="W300" s="22">
        <f t="shared" si="12"/>
        <v>17592</v>
      </c>
      <c r="X300" t="str">
        <f t="shared" si="13"/>
        <v>D</v>
      </c>
      <c r="Y300" s="23">
        <f t="shared" si="14"/>
        <v>1</v>
      </c>
      <c r="AA300" s="23"/>
    </row>
    <row r="301" spans="1:35">
      <c r="A301">
        <v>296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17592</v>
      </c>
      <c r="S301">
        <v>0</v>
      </c>
      <c r="T301">
        <v>0</v>
      </c>
      <c r="U301">
        <v>0</v>
      </c>
      <c r="V301">
        <v>45</v>
      </c>
      <c r="W301" s="22">
        <f t="shared" si="12"/>
        <v>17595</v>
      </c>
      <c r="X301" t="str">
        <f t="shared" si="13"/>
        <v>T</v>
      </c>
      <c r="Y301" s="23">
        <f t="shared" si="14"/>
        <v>0.99982949701619783</v>
      </c>
      <c r="AA301" s="23"/>
    </row>
    <row r="302" spans="1:35">
      <c r="A302">
        <v>297</v>
      </c>
      <c r="B302">
        <v>0</v>
      </c>
      <c r="C302">
        <v>0</v>
      </c>
      <c r="D302">
        <v>1</v>
      </c>
      <c r="E302">
        <v>17593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45</v>
      </c>
      <c r="W302" s="22">
        <f t="shared" si="12"/>
        <v>17594</v>
      </c>
      <c r="X302" t="str">
        <f t="shared" si="13"/>
        <v>E</v>
      </c>
      <c r="Y302" s="23">
        <f t="shared" si="14"/>
        <v>0.99994316244174153</v>
      </c>
      <c r="AA302" s="23"/>
    </row>
    <row r="303" spans="1:35">
      <c r="A303" s="24">
        <v>298</v>
      </c>
      <c r="B303" s="24">
        <v>0</v>
      </c>
      <c r="C303" s="24">
        <v>0</v>
      </c>
      <c r="D303" s="24">
        <v>0</v>
      </c>
      <c r="E303" s="24">
        <v>0</v>
      </c>
      <c r="F303" s="24">
        <v>0</v>
      </c>
      <c r="G303" s="24">
        <v>0</v>
      </c>
      <c r="H303" s="24">
        <v>0</v>
      </c>
      <c r="I303" s="24">
        <v>17567</v>
      </c>
      <c r="J303" s="24">
        <v>0</v>
      </c>
      <c r="K303" s="24">
        <v>8</v>
      </c>
      <c r="L303" s="24">
        <v>3</v>
      </c>
      <c r="M303" s="24">
        <v>0</v>
      </c>
      <c r="N303" s="24">
        <v>0</v>
      </c>
      <c r="O303" s="24">
        <v>0</v>
      </c>
      <c r="P303" s="24">
        <v>0</v>
      </c>
      <c r="Q303" s="24">
        <v>0</v>
      </c>
      <c r="R303" s="24">
        <v>5</v>
      </c>
      <c r="S303" s="24">
        <v>12</v>
      </c>
      <c r="T303" s="24">
        <v>0</v>
      </c>
      <c r="U303" s="24">
        <v>0</v>
      </c>
      <c r="V303" s="24">
        <v>46</v>
      </c>
      <c r="W303" s="24">
        <f t="shared" si="12"/>
        <v>17595</v>
      </c>
      <c r="X303" s="24" t="str">
        <f t="shared" si="13"/>
        <v>I</v>
      </c>
      <c r="Y303" s="25">
        <f t="shared" si="14"/>
        <v>0.99840863881784603</v>
      </c>
      <c r="Z303" s="24"/>
      <c r="AA303" s="25">
        <f>K303/W303</f>
        <v>4.5467462347257746E-4</v>
      </c>
      <c r="AB303" s="24"/>
      <c r="AC303" s="24"/>
      <c r="AD303" s="24"/>
      <c r="AE303" s="24"/>
      <c r="AF303" s="24"/>
      <c r="AG303" s="24"/>
      <c r="AH303" s="24"/>
      <c r="AI303" s="24"/>
    </row>
    <row r="304" spans="1:35">
      <c r="A304">
        <v>299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17593</v>
      </c>
      <c r="R304">
        <v>0</v>
      </c>
      <c r="S304">
        <v>0</v>
      </c>
      <c r="T304">
        <v>0</v>
      </c>
      <c r="U304">
        <v>0</v>
      </c>
      <c r="V304">
        <v>46</v>
      </c>
      <c r="W304" s="22">
        <f t="shared" si="12"/>
        <v>17594</v>
      </c>
      <c r="X304" t="str">
        <f t="shared" si="13"/>
        <v>S</v>
      </c>
      <c r="Y304" s="23">
        <f t="shared" si="14"/>
        <v>0.99994316244174153</v>
      </c>
      <c r="AA304" s="23"/>
    </row>
    <row r="305" spans="1:27">
      <c r="A305">
        <v>300</v>
      </c>
      <c r="B305">
        <v>0</v>
      </c>
      <c r="C305">
        <v>0</v>
      </c>
      <c r="D305">
        <v>0</v>
      </c>
      <c r="E305">
        <v>0</v>
      </c>
      <c r="F305">
        <v>17596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46</v>
      </c>
      <c r="W305" s="22">
        <f t="shared" si="12"/>
        <v>17596</v>
      </c>
      <c r="X305" t="str">
        <f t="shared" si="13"/>
        <v>F</v>
      </c>
      <c r="Y305" s="23">
        <f t="shared" si="14"/>
        <v>1</v>
      </c>
      <c r="AA305" s="23"/>
    </row>
    <row r="306" spans="1:27">
      <c r="A306">
        <v>301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17594</v>
      </c>
      <c r="S306">
        <v>0</v>
      </c>
      <c r="T306">
        <v>0</v>
      </c>
      <c r="U306">
        <v>0</v>
      </c>
      <c r="V306">
        <v>46</v>
      </c>
      <c r="W306" s="22">
        <f t="shared" si="12"/>
        <v>17594</v>
      </c>
      <c r="X306" t="str">
        <f t="shared" si="13"/>
        <v>T</v>
      </c>
      <c r="Y306" s="23">
        <f t="shared" si="14"/>
        <v>1</v>
      </c>
      <c r="AA306" s="23"/>
    </row>
    <row r="307" spans="1:27">
      <c r="A307">
        <v>302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17589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</v>
      </c>
      <c r="T307">
        <v>0</v>
      </c>
      <c r="U307">
        <v>0</v>
      </c>
      <c r="V307">
        <v>46</v>
      </c>
      <c r="W307" s="22">
        <f t="shared" si="12"/>
        <v>17595</v>
      </c>
      <c r="X307" t="str">
        <f t="shared" si="13"/>
        <v>I</v>
      </c>
      <c r="Y307" s="23">
        <f t="shared" si="14"/>
        <v>0.99965899403239555</v>
      </c>
      <c r="AA307" s="23"/>
    </row>
    <row r="308" spans="1:27">
      <c r="A308">
        <v>303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17595</v>
      </c>
      <c r="S308">
        <v>0</v>
      </c>
      <c r="T308">
        <v>0</v>
      </c>
      <c r="U308">
        <v>0</v>
      </c>
      <c r="V308">
        <v>46</v>
      </c>
      <c r="W308" s="22">
        <f t="shared" si="12"/>
        <v>17595</v>
      </c>
      <c r="X308" t="str">
        <f t="shared" si="13"/>
        <v>T</v>
      </c>
      <c r="Y308" s="23">
        <f t="shared" si="14"/>
        <v>1</v>
      </c>
      <c r="AA308" s="23"/>
    </row>
    <row r="309" spans="1:27">
      <c r="A309">
        <v>304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17592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45</v>
      </c>
      <c r="W309" s="22">
        <f t="shared" si="12"/>
        <v>17592</v>
      </c>
      <c r="X309" t="str">
        <f t="shared" si="13"/>
        <v>G</v>
      </c>
      <c r="Y309" s="23">
        <f t="shared" si="14"/>
        <v>1</v>
      </c>
      <c r="AA309" s="23"/>
    </row>
    <row r="310" spans="1:27">
      <c r="A310">
        <v>305</v>
      </c>
      <c r="B310">
        <v>0</v>
      </c>
      <c r="C310">
        <v>0</v>
      </c>
      <c r="D310">
        <v>17596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45</v>
      </c>
      <c r="W310" s="22">
        <f t="shared" si="12"/>
        <v>17596</v>
      </c>
      <c r="X310" t="str">
        <f t="shared" si="13"/>
        <v>D</v>
      </c>
      <c r="Y310" s="23">
        <f t="shared" si="14"/>
        <v>1</v>
      </c>
      <c r="AA310" s="23"/>
    </row>
    <row r="311" spans="1:27">
      <c r="A311">
        <v>306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17596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44</v>
      </c>
      <c r="W311" s="22">
        <f t="shared" si="12"/>
        <v>17597</v>
      </c>
      <c r="X311" t="str">
        <f t="shared" si="13"/>
        <v>N</v>
      </c>
      <c r="Y311" s="23">
        <f t="shared" si="14"/>
        <v>0.99994317213161332</v>
      </c>
      <c r="AA311" s="23"/>
    </row>
    <row r="312" spans="1:27">
      <c r="A312">
        <v>307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17596</v>
      </c>
      <c r="S312">
        <v>0</v>
      </c>
      <c r="T312">
        <v>0</v>
      </c>
      <c r="U312">
        <v>0</v>
      </c>
      <c r="V312">
        <v>44</v>
      </c>
      <c r="W312" s="22">
        <f t="shared" si="12"/>
        <v>17597</v>
      </c>
      <c r="X312" t="str">
        <f t="shared" si="13"/>
        <v>T</v>
      </c>
      <c r="Y312" s="23">
        <f t="shared" si="14"/>
        <v>0.99994317213161332</v>
      </c>
      <c r="AA312" s="23"/>
    </row>
    <row r="313" spans="1:27">
      <c r="A313">
        <v>308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17596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44</v>
      </c>
      <c r="W313" s="22">
        <f t="shared" si="12"/>
        <v>17597</v>
      </c>
      <c r="X313" t="str">
        <f t="shared" si="13"/>
        <v>K</v>
      </c>
      <c r="Y313" s="23">
        <f t="shared" si="14"/>
        <v>0.99994317213161332</v>
      </c>
      <c r="AA313" s="23"/>
    </row>
    <row r="314" spans="1:27">
      <c r="A314">
        <v>309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17599</v>
      </c>
      <c r="U314">
        <v>0</v>
      </c>
      <c r="V314">
        <v>43</v>
      </c>
      <c r="W314" s="22">
        <f t="shared" si="12"/>
        <v>17599</v>
      </c>
      <c r="X314" t="str">
        <f t="shared" si="13"/>
        <v>W</v>
      </c>
      <c r="Y314" s="23">
        <f t="shared" si="14"/>
        <v>1</v>
      </c>
      <c r="AA314" s="23"/>
    </row>
    <row r="315" spans="1:27">
      <c r="A315">
        <v>310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17598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43</v>
      </c>
      <c r="W315" s="22">
        <f t="shared" si="12"/>
        <v>17598</v>
      </c>
      <c r="X315" t="str">
        <f t="shared" si="13"/>
        <v>N</v>
      </c>
      <c r="Y315" s="23">
        <f t="shared" si="14"/>
        <v>1</v>
      </c>
      <c r="AA315" s="23"/>
    </row>
    <row r="316" spans="1:27">
      <c r="A316">
        <v>311</v>
      </c>
      <c r="B316">
        <v>0</v>
      </c>
      <c r="C316">
        <v>0</v>
      </c>
      <c r="D316">
        <v>0</v>
      </c>
      <c r="E316">
        <v>17599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43</v>
      </c>
      <c r="W316" s="22">
        <f t="shared" si="12"/>
        <v>17599</v>
      </c>
      <c r="X316" t="str">
        <f t="shared" si="13"/>
        <v>E</v>
      </c>
      <c r="Y316" s="23">
        <f t="shared" si="14"/>
        <v>1</v>
      </c>
      <c r="AA316" s="23"/>
    </row>
    <row r="317" spans="1:27">
      <c r="A317">
        <v>312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17596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43</v>
      </c>
      <c r="W317" s="22">
        <f t="shared" si="12"/>
        <v>17597</v>
      </c>
      <c r="X317" t="str">
        <f t="shared" si="13"/>
        <v>N</v>
      </c>
      <c r="Y317" s="23">
        <f t="shared" si="14"/>
        <v>0.99994317213161332</v>
      </c>
      <c r="AA317" s="23"/>
    </row>
    <row r="318" spans="1:27">
      <c r="A318">
        <v>313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17598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43</v>
      </c>
      <c r="W318" s="22">
        <f t="shared" si="12"/>
        <v>17598</v>
      </c>
      <c r="X318" t="str">
        <f t="shared" si="13"/>
        <v>Q</v>
      </c>
      <c r="Y318" s="23">
        <f t="shared" si="14"/>
        <v>1</v>
      </c>
      <c r="AA318" s="23"/>
    </row>
    <row r="319" spans="1:27">
      <c r="A319">
        <v>314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17594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43</v>
      </c>
      <c r="W319" s="22">
        <f t="shared" si="12"/>
        <v>17596</v>
      </c>
      <c r="X319" t="str">
        <f t="shared" si="13"/>
        <v>N</v>
      </c>
      <c r="Y319" s="23">
        <f t="shared" si="14"/>
        <v>0.99988633780404634</v>
      </c>
      <c r="AA319" s="23"/>
    </row>
    <row r="320" spans="1:27">
      <c r="A320">
        <v>315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17595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43</v>
      </c>
      <c r="W320" s="22">
        <f t="shared" si="12"/>
        <v>17596</v>
      </c>
      <c r="X320" t="str">
        <f t="shared" si="13"/>
        <v>P</v>
      </c>
      <c r="Y320" s="23">
        <f t="shared" si="14"/>
        <v>0.99994316890202317</v>
      </c>
      <c r="AA320" s="23"/>
    </row>
    <row r="321" spans="1:27">
      <c r="A321">
        <v>316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17594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43</v>
      </c>
      <c r="W321" s="22">
        <f t="shared" si="12"/>
        <v>17594</v>
      </c>
      <c r="X321" t="str">
        <f t="shared" si="13"/>
        <v>R</v>
      </c>
      <c r="Y321" s="23">
        <f t="shared" si="14"/>
        <v>1</v>
      </c>
      <c r="AA321" s="23"/>
    </row>
    <row r="322" spans="1:27">
      <c r="A322">
        <v>317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17</v>
      </c>
      <c r="J322">
        <v>0</v>
      </c>
      <c r="K322">
        <v>0</v>
      </c>
      <c r="L322">
        <v>17564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6</v>
      </c>
      <c r="S322">
        <v>8</v>
      </c>
      <c r="T322">
        <v>0</v>
      </c>
      <c r="U322">
        <v>0</v>
      </c>
      <c r="V322">
        <v>42</v>
      </c>
      <c r="W322" s="22">
        <f t="shared" si="12"/>
        <v>17595</v>
      </c>
      <c r="X322" t="str">
        <f t="shared" si="13"/>
        <v>M</v>
      </c>
      <c r="Y322" s="23">
        <f t="shared" si="14"/>
        <v>0.99823813583404375</v>
      </c>
      <c r="AA322" s="23"/>
    </row>
    <row r="323" spans="1:27">
      <c r="A323">
        <v>318</v>
      </c>
      <c r="B323">
        <v>0</v>
      </c>
      <c r="C323">
        <v>0</v>
      </c>
      <c r="D323">
        <v>0</v>
      </c>
      <c r="E323">
        <v>0</v>
      </c>
      <c r="F323">
        <v>17597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42</v>
      </c>
      <c r="W323" s="22">
        <f t="shared" si="12"/>
        <v>17597</v>
      </c>
      <c r="X323" t="str">
        <f t="shared" si="13"/>
        <v>F</v>
      </c>
      <c r="Y323" s="23">
        <f t="shared" si="14"/>
        <v>1</v>
      </c>
      <c r="AA323" s="23"/>
    </row>
    <row r="324" spans="1:27">
      <c r="A324">
        <v>319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17594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42</v>
      </c>
      <c r="W324" s="22">
        <f t="shared" si="12"/>
        <v>17595</v>
      </c>
      <c r="X324" t="str">
        <f t="shared" si="13"/>
        <v>L</v>
      </c>
      <c r="Y324" s="23">
        <f t="shared" si="14"/>
        <v>0.99994316567206598</v>
      </c>
      <c r="AA324" s="23"/>
    </row>
    <row r="325" spans="1:27">
      <c r="A325">
        <v>320</v>
      </c>
      <c r="B325">
        <v>17593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42</v>
      </c>
      <c r="W325" s="22">
        <f t="shared" si="12"/>
        <v>17593</v>
      </c>
      <c r="X325" t="str">
        <f t="shared" si="13"/>
        <v>A</v>
      </c>
      <c r="Y325" s="23">
        <f t="shared" si="14"/>
        <v>1</v>
      </c>
      <c r="AA325" s="23"/>
    </row>
    <row r="326" spans="1:27">
      <c r="A326">
        <v>321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17598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42</v>
      </c>
      <c r="W326" s="22">
        <f t="shared" ref="W326:W389" si="15">SUM(B326:U326)</f>
        <v>17599</v>
      </c>
      <c r="X326" t="str">
        <f t="shared" ref="X326:X389" si="16">INDEX(($B$4:$U$4),MATCH(LARGE(B326:U326,1),B326:U326,0))</f>
        <v>M</v>
      </c>
      <c r="Y326" s="23">
        <f t="shared" ref="Y326:Y389" si="17">(MAX(B326:U326))/W326</f>
        <v>0.99994317858969262</v>
      </c>
      <c r="AA326" s="23"/>
    </row>
    <row r="327" spans="1:27">
      <c r="A327">
        <v>322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17578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17</v>
      </c>
      <c r="T327">
        <v>0</v>
      </c>
      <c r="U327">
        <v>0</v>
      </c>
      <c r="V327">
        <v>42</v>
      </c>
      <c r="W327" s="22">
        <f t="shared" si="15"/>
        <v>17596</v>
      </c>
      <c r="X327" t="str">
        <f t="shared" si="16"/>
        <v>I</v>
      </c>
      <c r="Y327" s="23">
        <f t="shared" si="17"/>
        <v>0.99897704023641731</v>
      </c>
      <c r="AA327" s="23"/>
    </row>
    <row r="328" spans="1:27">
      <c r="A328">
        <v>323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5</v>
      </c>
      <c r="R328">
        <v>17592</v>
      </c>
      <c r="S328">
        <v>0</v>
      </c>
      <c r="T328">
        <v>0</v>
      </c>
      <c r="U328">
        <v>0</v>
      </c>
      <c r="V328">
        <v>42</v>
      </c>
      <c r="W328" s="22">
        <f t="shared" si="15"/>
        <v>17598</v>
      </c>
      <c r="X328" t="str">
        <f t="shared" si="16"/>
        <v>T</v>
      </c>
      <c r="Y328" s="23">
        <f t="shared" si="17"/>
        <v>0.99965905216501871</v>
      </c>
      <c r="AA328" s="23"/>
    </row>
    <row r="329" spans="1:27">
      <c r="A329">
        <v>324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17597</v>
      </c>
      <c r="V329">
        <v>42</v>
      </c>
      <c r="W329" s="22">
        <f t="shared" si="15"/>
        <v>17597</v>
      </c>
      <c r="X329" t="str">
        <f t="shared" si="16"/>
        <v>Y</v>
      </c>
      <c r="Y329" s="23">
        <f t="shared" si="17"/>
        <v>1</v>
      </c>
      <c r="AA329" s="23"/>
    </row>
    <row r="330" spans="1:27">
      <c r="A330">
        <v>325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17592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4</v>
      </c>
      <c r="T330">
        <v>0</v>
      </c>
      <c r="U330">
        <v>0</v>
      </c>
      <c r="V330">
        <v>42</v>
      </c>
      <c r="W330" s="22">
        <f t="shared" si="15"/>
        <v>17596</v>
      </c>
      <c r="X330" t="str">
        <f t="shared" si="16"/>
        <v>I</v>
      </c>
      <c r="Y330" s="23">
        <f t="shared" si="17"/>
        <v>0.9997726756080928</v>
      </c>
      <c r="AA330" s="23"/>
    </row>
    <row r="331" spans="1:27">
      <c r="A331">
        <v>326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</v>
      </c>
      <c r="R331">
        <v>17595</v>
      </c>
      <c r="S331">
        <v>0</v>
      </c>
      <c r="T331">
        <v>0</v>
      </c>
      <c r="U331">
        <v>0</v>
      </c>
      <c r="V331">
        <v>42</v>
      </c>
      <c r="W331" s="22">
        <f t="shared" si="15"/>
        <v>17597</v>
      </c>
      <c r="X331" t="str">
        <f t="shared" si="16"/>
        <v>T</v>
      </c>
      <c r="Y331" s="23">
        <f t="shared" si="17"/>
        <v>0.99988634426322665</v>
      </c>
      <c r="AA331" s="23"/>
    </row>
    <row r="332" spans="1:27">
      <c r="A332">
        <v>327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54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17540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42</v>
      </c>
      <c r="W332" s="22">
        <f t="shared" si="15"/>
        <v>17594</v>
      </c>
      <c r="X332" t="str">
        <f t="shared" si="16"/>
        <v>R</v>
      </c>
      <c r="Y332" s="23">
        <f t="shared" si="17"/>
        <v>0.99693077185404111</v>
      </c>
      <c r="AA332" s="23"/>
    </row>
    <row r="333" spans="1:27">
      <c r="A333">
        <v>328</v>
      </c>
      <c r="B333">
        <v>0</v>
      </c>
      <c r="C333">
        <v>0</v>
      </c>
      <c r="D333">
        <v>22</v>
      </c>
      <c r="E333">
        <v>0</v>
      </c>
      <c r="F333">
        <v>0</v>
      </c>
      <c r="G333">
        <v>0</v>
      </c>
      <c r="H333">
        <v>38</v>
      </c>
      <c r="I333">
        <v>0</v>
      </c>
      <c r="J333">
        <v>21</v>
      </c>
      <c r="K333">
        <v>0</v>
      </c>
      <c r="L333">
        <v>0</v>
      </c>
      <c r="M333">
        <v>17497</v>
      </c>
      <c r="N333">
        <v>0</v>
      </c>
      <c r="O333">
        <v>0</v>
      </c>
      <c r="P333">
        <v>0</v>
      </c>
      <c r="Q333">
        <v>17</v>
      </c>
      <c r="R333">
        <v>0</v>
      </c>
      <c r="S333">
        <v>0</v>
      </c>
      <c r="T333">
        <v>0</v>
      </c>
      <c r="U333">
        <v>0</v>
      </c>
      <c r="V333">
        <v>42</v>
      </c>
      <c r="W333" s="22">
        <f t="shared" si="15"/>
        <v>17595</v>
      </c>
      <c r="X333" t="str">
        <f t="shared" si="16"/>
        <v>N</v>
      </c>
      <c r="Y333" s="23">
        <f t="shared" si="17"/>
        <v>0.99443023586246093</v>
      </c>
      <c r="AA333" s="23"/>
    </row>
    <row r="334" spans="1:27">
      <c r="A334">
        <v>329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17597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42</v>
      </c>
      <c r="W334" s="22">
        <f t="shared" si="15"/>
        <v>17597</v>
      </c>
      <c r="X334" t="str">
        <f t="shared" si="16"/>
        <v>Q</v>
      </c>
      <c r="Y334" s="23">
        <f t="shared" si="17"/>
        <v>1</v>
      </c>
      <c r="AA334" s="23"/>
    </row>
    <row r="335" spans="1:27">
      <c r="A335">
        <v>330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17595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42</v>
      </c>
      <c r="W335" s="22">
        <f t="shared" si="15"/>
        <v>17595</v>
      </c>
      <c r="X335" t="str">
        <f t="shared" si="16"/>
        <v>P</v>
      </c>
      <c r="Y335" s="23">
        <f t="shared" si="17"/>
        <v>1</v>
      </c>
      <c r="AA335" s="23"/>
    </row>
    <row r="336" spans="1:27">
      <c r="A336">
        <v>331</v>
      </c>
      <c r="B336">
        <v>0</v>
      </c>
      <c r="C336">
        <v>0</v>
      </c>
      <c r="D336">
        <v>53</v>
      </c>
      <c r="E336">
        <v>17531</v>
      </c>
      <c r="F336">
        <v>0</v>
      </c>
      <c r="G336">
        <v>4</v>
      </c>
      <c r="H336">
        <v>0</v>
      </c>
      <c r="I336">
        <v>0</v>
      </c>
      <c r="J336">
        <v>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42</v>
      </c>
      <c r="W336" s="22">
        <f t="shared" si="15"/>
        <v>17593</v>
      </c>
      <c r="X336" t="str">
        <f t="shared" si="16"/>
        <v>E</v>
      </c>
      <c r="Y336" s="23">
        <f t="shared" si="17"/>
        <v>0.99647587108509061</v>
      </c>
      <c r="AA336" s="23"/>
    </row>
    <row r="337" spans="1:35">
      <c r="A337">
        <v>332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17598</v>
      </c>
      <c r="U337">
        <v>0</v>
      </c>
      <c r="V337">
        <v>42</v>
      </c>
      <c r="W337" s="22">
        <f t="shared" si="15"/>
        <v>17598</v>
      </c>
      <c r="X337" t="str">
        <f t="shared" si="16"/>
        <v>W</v>
      </c>
      <c r="Y337" s="23">
        <f t="shared" si="17"/>
        <v>1</v>
      </c>
      <c r="AA337" s="23"/>
    </row>
    <row r="338" spans="1:35">
      <c r="A338">
        <v>333</v>
      </c>
      <c r="B338">
        <v>0</v>
      </c>
      <c r="C338">
        <v>0</v>
      </c>
      <c r="D338">
        <v>0</v>
      </c>
      <c r="E338">
        <v>0</v>
      </c>
      <c r="F338">
        <v>17591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42</v>
      </c>
      <c r="W338" s="22">
        <f t="shared" si="15"/>
        <v>17593</v>
      </c>
      <c r="X338" t="str">
        <f t="shared" si="16"/>
        <v>F</v>
      </c>
      <c r="Y338" s="23">
        <f t="shared" si="17"/>
        <v>0.99988631842209974</v>
      </c>
      <c r="AA338" s="23"/>
    </row>
    <row r="339" spans="1:35">
      <c r="A339">
        <v>334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17599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42</v>
      </c>
      <c r="W339" s="22">
        <f t="shared" si="15"/>
        <v>17599</v>
      </c>
      <c r="X339" t="str">
        <f t="shared" si="16"/>
        <v>R</v>
      </c>
      <c r="Y339" s="23">
        <f t="shared" si="17"/>
        <v>1</v>
      </c>
      <c r="AA339" s="23"/>
    </row>
    <row r="340" spans="1:35">
      <c r="A340">
        <v>335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17596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42</v>
      </c>
      <c r="W340" s="22">
        <f t="shared" si="15"/>
        <v>17596</v>
      </c>
      <c r="X340" t="str">
        <f t="shared" si="16"/>
        <v>N</v>
      </c>
      <c r="Y340" s="23">
        <f t="shared" si="17"/>
        <v>1</v>
      </c>
      <c r="AA340" s="23"/>
    </row>
    <row r="341" spans="1:35">
      <c r="A341" s="24">
        <v>336</v>
      </c>
      <c r="B341" s="24">
        <v>0</v>
      </c>
      <c r="C341" s="24">
        <v>0</v>
      </c>
      <c r="D341" s="24">
        <v>0</v>
      </c>
      <c r="E341" s="24">
        <v>0</v>
      </c>
      <c r="F341" s="24">
        <v>0</v>
      </c>
      <c r="G341" s="24">
        <v>0</v>
      </c>
      <c r="H341" s="24">
        <v>0</v>
      </c>
      <c r="I341" s="24">
        <v>17579</v>
      </c>
      <c r="J341" s="24">
        <v>0</v>
      </c>
      <c r="K341" s="24">
        <v>0</v>
      </c>
      <c r="L341" s="24">
        <v>0</v>
      </c>
      <c r="M341" s="24">
        <v>0</v>
      </c>
      <c r="N341" s="24">
        <v>0</v>
      </c>
      <c r="O341" s="24">
        <v>0</v>
      </c>
      <c r="P341" s="24">
        <v>0</v>
      </c>
      <c r="Q341" s="24">
        <v>0</v>
      </c>
      <c r="R341" s="24">
        <v>7</v>
      </c>
      <c r="S341" s="24">
        <v>9</v>
      </c>
      <c r="T341" s="24">
        <v>0</v>
      </c>
      <c r="U341" s="24">
        <v>0</v>
      </c>
      <c r="V341" s="24">
        <v>43</v>
      </c>
      <c r="W341" s="24">
        <f t="shared" si="15"/>
        <v>17595</v>
      </c>
      <c r="X341" s="24" t="str">
        <f t="shared" si="16"/>
        <v>I</v>
      </c>
      <c r="Y341" s="25">
        <f t="shared" si="17"/>
        <v>0.99909065075305481</v>
      </c>
      <c r="Z341" s="24"/>
      <c r="AA341" s="25">
        <f>S341/W341</f>
        <v>5.1150895140664957E-4</v>
      </c>
      <c r="AB341" s="24"/>
      <c r="AC341" s="24"/>
      <c r="AD341" s="24"/>
      <c r="AE341" s="24"/>
      <c r="AF341" s="24"/>
      <c r="AG341" s="24"/>
      <c r="AH341" s="24"/>
      <c r="AI341" s="24"/>
    </row>
    <row r="342" spans="1:35">
      <c r="A342">
        <v>337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17594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43</v>
      </c>
      <c r="W342" s="22">
        <f t="shared" si="15"/>
        <v>17595</v>
      </c>
      <c r="X342" t="str">
        <f t="shared" si="16"/>
        <v>L</v>
      </c>
      <c r="Y342" s="23">
        <f t="shared" si="17"/>
        <v>0.99994316567206598</v>
      </c>
      <c r="AA342" s="23"/>
    </row>
    <row r="343" spans="1:35">
      <c r="A343">
        <v>338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17596</v>
      </c>
      <c r="R343">
        <v>0</v>
      </c>
      <c r="S343">
        <v>0</v>
      </c>
      <c r="T343">
        <v>0</v>
      </c>
      <c r="U343">
        <v>0</v>
      </c>
      <c r="V343">
        <v>43</v>
      </c>
      <c r="W343" s="22">
        <f t="shared" si="15"/>
        <v>17597</v>
      </c>
      <c r="X343" t="str">
        <f t="shared" si="16"/>
        <v>S</v>
      </c>
      <c r="Y343" s="23">
        <f t="shared" si="17"/>
        <v>0.99994317213161332</v>
      </c>
      <c r="AA343" s="23"/>
    </row>
    <row r="344" spans="1:35">
      <c r="A344" s="24">
        <v>339</v>
      </c>
      <c r="B344" s="24">
        <v>0</v>
      </c>
      <c r="C344" s="24">
        <v>0</v>
      </c>
      <c r="D344" s="24">
        <v>0</v>
      </c>
      <c r="E344" s="24">
        <v>0</v>
      </c>
      <c r="F344" s="24">
        <v>0</v>
      </c>
      <c r="G344" s="24">
        <v>0</v>
      </c>
      <c r="H344" s="24">
        <v>0</v>
      </c>
      <c r="I344" s="24">
        <v>26</v>
      </c>
      <c r="J344" s="24">
        <v>0</v>
      </c>
      <c r="K344" s="24">
        <v>1</v>
      </c>
      <c r="L344" s="24">
        <v>17559</v>
      </c>
      <c r="M344" s="24">
        <v>0</v>
      </c>
      <c r="N344" s="24">
        <v>0</v>
      </c>
      <c r="O344" s="24">
        <v>0</v>
      </c>
      <c r="P344" s="24">
        <v>0</v>
      </c>
      <c r="Q344" s="24">
        <v>0</v>
      </c>
      <c r="R344" s="24">
        <v>3</v>
      </c>
      <c r="S344" s="24">
        <v>3</v>
      </c>
      <c r="T344" s="24">
        <v>0</v>
      </c>
      <c r="U344" s="24">
        <v>0</v>
      </c>
      <c r="V344" s="24">
        <v>43</v>
      </c>
      <c r="W344" s="24">
        <f t="shared" si="15"/>
        <v>17592</v>
      </c>
      <c r="X344" s="24" t="str">
        <f t="shared" si="16"/>
        <v>M</v>
      </c>
      <c r="Y344" s="25">
        <f t="shared" si="17"/>
        <v>0.9981241473396999</v>
      </c>
      <c r="Z344" s="24"/>
      <c r="AA344" s="25">
        <f>I344/W344</f>
        <v>1.4779445202364712E-3</v>
      </c>
      <c r="AB344" s="24"/>
      <c r="AC344" s="24"/>
      <c r="AD344" s="24"/>
      <c r="AE344" s="24"/>
      <c r="AF344" s="24"/>
      <c r="AG344" s="24"/>
      <c r="AH344" s="24"/>
    </row>
    <row r="345" spans="1:35">
      <c r="A345">
        <v>340</v>
      </c>
      <c r="B345">
        <v>17596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43</v>
      </c>
      <c r="W345" s="22">
        <f t="shared" si="15"/>
        <v>17596</v>
      </c>
      <c r="X345" t="str">
        <f t="shared" si="16"/>
        <v>A</v>
      </c>
      <c r="Y345" s="23">
        <f t="shared" si="17"/>
        <v>1</v>
      </c>
      <c r="AA345" s="23"/>
    </row>
    <row r="346" spans="1:35">
      <c r="A346">
        <v>341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17594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43</v>
      </c>
      <c r="W346" s="22">
        <f t="shared" si="15"/>
        <v>17594</v>
      </c>
      <c r="X346" t="str">
        <f t="shared" si="16"/>
        <v>P</v>
      </c>
      <c r="Y346" s="23">
        <f t="shared" si="17"/>
        <v>1</v>
      </c>
      <c r="AA346" s="23"/>
    </row>
    <row r="347" spans="1:35">
      <c r="A347">
        <v>342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17483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115</v>
      </c>
      <c r="T347">
        <v>0</v>
      </c>
      <c r="U347">
        <v>0</v>
      </c>
      <c r="V347">
        <v>43</v>
      </c>
      <c r="W347" s="22">
        <f t="shared" si="15"/>
        <v>17598</v>
      </c>
      <c r="X347" t="str">
        <f t="shared" si="16"/>
        <v>I</v>
      </c>
      <c r="Y347" s="23">
        <f t="shared" si="17"/>
        <v>0.99346516649619276</v>
      </c>
      <c r="AA347" s="23"/>
    </row>
    <row r="348" spans="1:35">
      <c r="A348">
        <v>343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17598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43</v>
      </c>
      <c r="W348" s="22">
        <f t="shared" si="15"/>
        <v>17599</v>
      </c>
      <c r="X348" t="str">
        <f t="shared" si="16"/>
        <v>M</v>
      </c>
      <c r="Y348" s="23">
        <f t="shared" si="17"/>
        <v>0.99994317858969262</v>
      </c>
      <c r="AA348" s="23"/>
    </row>
    <row r="349" spans="1:35">
      <c r="A349">
        <v>344</v>
      </c>
      <c r="B349">
        <v>0</v>
      </c>
      <c r="C349">
        <v>0</v>
      </c>
      <c r="D349">
        <v>0</v>
      </c>
      <c r="E349">
        <v>0</v>
      </c>
      <c r="F349">
        <v>17595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43</v>
      </c>
      <c r="W349" s="22">
        <f t="shared" si="15"/>
        <v>17596</v>
      </c>
      <c r="X349" t="str">
        <f t="shared" si="16"/>
        <v>F</v>
      </c>
      <c r="Y349" s="23">
        <f t="shared" si="17"/>
        <v>0.99994316890202317</v>
      </c>
      <c r="AA349" s="23"/>
    </row>
    <row r="350" spans="1:35">
      <c r="A350">
        <v>345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17598</v>
      </c>
      <c r="R350">
        <v>0</v>
      </c>
      <c r="S350">
        <v>0</v>
      </c>
      <c r="T350">
        <v>0</v>
      </c>
      <c r="U350">
        <v>0</v>
      </c>
      <c r="V350">
        <v>43</v>
      </c>
      <c r="W350" s="22">
        <f t="shared" si="15"/>
        <v>17598</v>
      </c>
      <c r="X350" t="str">
        <f t="shared" si="16"/>
        <v>S</v>
      </c>
      <c r="Y350" s="23">
        <f t="shared" si="17"/>
        <v>1</v>
      </c>
      <c r="AA350" s="23"/>
    </row>
    <row r="351" spans="1:35">
      <c r="A351">
        <v>346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17597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43</v>
      </c>
      <c r="W351" s="22">
        <f t="shared" si="15"/>
        <v>17598</v>
      </c>
      <c r="X351" t="str">
        <f t="shared" si="16"/>
        <v>N</v>
      </c>
      <c r="Y351" s="23">
        <f t="shared" si="17"/>
        <v>0.99994317536083643</v>
      </c>
      <c r="AA351" s="23"/>
    </row>
    <row r="352" spans="1:35">
      <c r="A352">
        <v>347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17598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43</v>
      </c>
      <c r="W352" s="22">
        <f t="shared" si="15"/>
        <v>17598</v>
      </c>
      <c r="X352" t="str">
        <f t="shared" si="16"/>
        <v>K</v>
      </c>
      <c r="Y352" s="23">
        <f t="shared" si="17"/>
        <v>1</v>
      </c>
      <c r="AA352" s="23"/>
    </row>
    <row r="353" spans="1:33">
      <c r="A353">
        <v>348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4</v>
      </c>
      <c r="L353">
        <v>17590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4</v>
      </c>
      <c r="T353">
        <v>0</v>
      </c>
      <c r="U353">
        <v>0</v>
      </c>
      <c r="V353">
        <v>43</v>
      </c>
      <c r="W353" s="22">
        <f t="shared" si="15"/>
        <v>17598</v>
      </c>
      <c r="X353" t="str">
        <f t="shared" si="16"/>
        <v>M</v>
      </c>
      <c r="Y353" s="23">
        <f t="shared" si="17"/>
        <v>0.99954540288669169</v>
      </c>
      <c r="AA353" s="23"/>
    </row>
    <row r="354" spans="1:33">
      <c r="A354">
        <v>349</v>
      </c>
      <c r="B354">
        <v>17595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</v>
      </c>
      <c r="S354">
        <v>0</v>
      </c>
      <c r="T354">
        <v>0</v>
      </c>
      <c r="U354">
        <v>0</v>
      </c>
      <c r="V354">
        <v>43</v>
      </c>
      <c r="W354" s="22">
        <f t="shared" si="15"/>
        <v>17597</v>
      </c>
      <c r="X354" t="str">
        <f t="shared" si="16"/>
        <v>A</v>
      </c>
      <c r="Y354" s="23">
        <f t="shared" si="17"/>
        <v>0.99988634426322665</v>
      </c>
      <c r="AA354" s="23"/>
    </row>
    <row r="355" spans="1:33">
      <c r="A355">
        <v>350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17561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43</v>
      </c>
      <c r="W355" s="22">
        <f t="shared" si="15"/>
        <v>17591</v>
      </c>
      <c r="X355" t="str">
        <f t="shared" si="16"/>
        <v>R</v>
      </c>
      <c r="Y355" s="23">
        <f t="shared" si="17"/>
        <v>0.99829458245693825</v>
      </c>
      <c r="AA355" s="23"/>
    </row>
    <row r="356" spans="1:33">
      <c r="A356">
        <v>351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6</v>
      </c>
      <c r="J356">
        <v>0</v>
      </c>
      <c r="K356">
        <v>17587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43</v>
      </c>
      <c r="W356" s="22">
        <f t="shared" si="15"/>
        <v>17594</v>
      </c>
      <c r="X356" t="str">
        <f t="shared" si="16"/>
        <v>L</v>
      </c>
      <c r="Y356" s="23">
        <f t="shared" si="17"/>
        <v>0.99960213709219048</v>
      </c>
      <c r="AA356" s="23"/>
    </row>
    <row r="357" spans="1:33">
      <c r="A357">
        <v>352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17581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43</v>
      </c>
      <c r="W357" s="22">
        <f t="shared" si="15"/>
        <v>17581</v>
      </c>
      <c r="X357" t="str">
        <f t="shared" si="16"/>
        <v>G</v>
      </c>
      <c r="Y357" s="23">
        <f t="shared" si="17"/>
        <v>1</v>
      </c>
      <c r="AA357" s="23"/>
    </row>
    <row r="358" spans="1:33">
      <c r="A358">
        <v>353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17382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43</v>
      </c>
      <c r="W358" s="22">
        <f t="shared" si="15"/>
        <v>17591</v>
      </c>
      <c r="X358" t="str">
        <f t="shared" si="16"/>
        <v>K</v>
      </c>
      <c r="Y358" s="23">
        <f t="shared" si="17"/>
        <v>0.98811892445000282</v>
      </c>
      <c r="AA358" s="23"/>
    </row>
    <row r="359" spans="1:33">
      <c r="A359">
        <v>354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17594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43</v>
      </c>
      <c r="W359" s="22">
        <f t="shared" si="15"/>
        <v>17594</v>
      </c>
      <c r="X359" t="str">
        <f t="shared" si="16"/>
        <v>G</v>
      </c>
      <c r="Y359" s="23">
        <f t="shared" si="17"/>
        <v>1</v>
      </c>
      <c r="AA359" s="23"/>
    </row>
    <row r="360" spans="1:33">
      <c r="A360">
        <v>355</v>
      </c>
      <c r="B360">
        <v>0</v>
      </c>
      <c r="C360">
        <v>1</v>
      </c>
      <c r="D360">
        <v>1</v>
      </c>
      <c r="E360">
        <v>0</v>
      </c>
      <c r="F360">
        <v>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17586</v>
      </c>
      <c r="V360">
        <v>43</v>
      </c>
      <c r="W360" s="22">
        <f t="shared" si="15"/>
        <v>17593</v>
      </c>
      <c r="X360" t="str">
        <f t="shared" si="16"/>
        <v>Y</v>
      </c>
      <c r="Y360" s="23">
        <f t="shared" si="17"/>
        <v>0.99960211447734892</v>
      </c>
      <c r="AA360" s="23"/>
    </row>
    <row r="361" spans="1:33">
      <c r="A361">
        <v>356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1</v>
      </c>
      <c r="L361">
        <v>17593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44</v>
      </c>
      <c r="W361" s="22">
        <f t="shared" si="15"/>
        <v>17596</v>
      </c>
      <c r="X361" t="str">
        <f t="shared" si="16"/>
        <v>M</v>
      </c>
      <c r="Y361" s="23">
        <f t="shared" si="17"/>
        <v>0.99982950670606952</v>
      </c>
      <c r="AA361" s="23"/>
    </row>
    <row r="362" spans="1:33">
      <c r="A362">
        <v>357</v>
      </c>
      <c r="B362">
        <v>0</v>
      </c>
      <c r="C362">
        <v>0</v>
      </c>
      <c r="D362">
        <v>0</v>
      </c>
      <c r="E362">
        <v>0</v>
      </c>
      <c r="F362">
        <v>17596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44</v>
      </c>
      <c r="W362" s="22">
        <f t="shared" si="15"/>
        <v>17596</v>
      </c>
      <c r="X362" t="str">
        <f t="shared" si="16"/>
        <v>F</v>
      </c>
      <c r="Y362" s="23">
        <f t="shared" si="17"/>
        <v>1</v>
      </c>
      <c r="AA362" s="23"/>
    </row>
    <row r="363" spans="1:33">
      <c r="A363">
        <v>358</v>
      </c>
      <c r="B363">
        <v>0</v>
      </c>
      <c r="C363">
        <v>0</v>
      </c>
      <c r="D363">
        <v>3</v>
      </c>
      <c r="E363">
        <v>17590</v>
      </c>
      <c r="F363">
        <v>0</v>
      </c>
      <c r="G363">
        <v>1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44</v>
      </c>
      <c r="W363" s="22">
        <f t="shared" si="15"/>
        <v>17596</v>
      </c>
      <c r="X363" t="str">
        <f t="shared" si="16"/>
        <v>E</v>
      </c>
      <c r="Y363" s="23">
        <f t="shared" si="17"/>
        <v>0.99965901341213914</v>
      </c>
      <c r="AA363" s="23"/>
    </row>
    <row r="364" spans="1:33">
      <c r="A364">
        <v>359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17596</v>
      </c>
      <c r="R364">
        <v>0</v>
      </c>
      <c r="S364">
        <v>0</v>
      </c>
      <c r="T364">
        <v>0</v>
      </c>
      <c r="U364">
        <v>0</v>
      </c>
      <c r="V364">
        <v>44</v>
      </c>
      <c r="W364" s="22">
        <f t="shared" si="15"/>
        <v>17596</v>
      </c>
      <c r="X364" t="str">
        <f t="shared" si="16"/>
        <v>S</v>
      </c>
      <c r="Y364" s="23">
        <f t="shared" si="17"/>
        <v>1</v>
      </c>
      <c r="AA364" s="23"/>
    </row>
    <row r="365" spans="1:33">
      <c r="A365">
        <v>360</v>
      </c>
      <c r="B365">
        <v>0</v>
      </c>
      <c r="C365">
        <v>0</v>
      </c>
      <c r="D365">
        <v>0</v>
      </c>
      <c r="E365">
        <v>5</v>
      </c>
      <c r="F365">
        <v>0</v>
      </c>
      <c r="G365">
        <v>0</v>
      </c>
      <c r="H365">
        <v>0</v>
      </c>
      <c r="I365">
        <v>0</v>
      </c>
      <c r="J365">
        <v>17584</v>
      </c>
      <c r="K365">
        <v>0</v>
      </c>
      <c r="L365">
        <v>0</v>
      </c>
      <c r="M365">
        <v>3</v>
      </c>
      <c r="N365">
        <v>0</v>
      </c>
      <c r="O365">
        <v>1</v>
      </c>
      <c r="P365">
        <v>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44</v>
      </c>
      <c r="W365" s="22">
        <f t="shared" si="15"/>
        <v>17596</v>
      </c>
      <c r="X365" t="str">
        <f t="shared" si="16"/>
        <v>K</v>
      </c>
      <c r="Y365" s="23">
        <f t="shared" si="17"/>
        <v>0.99931802682427828</v>
      </c>
      <c r="AA365" s="23"/>
    </row>
    <row r="366" spans="1:33">
      <c r="A366" s="24">
        <v>361</v>
      </c>
      <c r="B366" s="24">
        <v>0</v>
      </c>
      <c r="C366" s="24">
        <v>0</v>
      </c>
      <c r="D366" s="24">
        <v>0</v>
      </c>
      <c r="E366" s="24">
        <v>0</v>
      </c>
      <c r="F366" s="24">
        <v>0</v>
      </c>
      <c r="G366" s="24">
        <v>10</v>
      </c>
      <c r="H366" s="24">
        <v>0</v>
      </c>
      <c r="I366" s="24">
        <v>2</v>
      </c>
      <c r="J366" s="24">
        <v>320</v>
      </c>
      <c r="K366" s="24">
        <v>0</v>
      </c>
      <c r="L366" s="24">
        <v>0</v>
      </c>
      <c r="M366" s="24">
        <v>0</v>
      </c>
      <c r="N366" s="24">
        <v>0</v>
      </c>
      <c r="O366" s="24">
        <v>0</v>
      </c>
      <c r="P366" s="24">
        <v>17261</v>
      </c>
      <c r="Q366" s="24">
        <v>1</v>
      </c>
      <c r="R366" s="24">
        <v>0</v>
      </c>
      <c r="S366" s="24">
        <v>0</v>
      </c>
      <c r="T366" s="24">
        <v>0</v>
      </c>
      <c r="U366" s="24">
        <v>0</v>
      </c>
      <c r="V366" s="24">
        <v>44</v>
      </c>
      <c r="W366" s="24">
        <f t="shared" si="15"/>
        <v>17594</v>
      </c>
      <c r="X366" s="24" t="str">
        <f t="shared" si="16"/>
        <v>R</v>
      </c>
      <c r="Y366" s="25">
        <f t="shared" si="17"/>
        <v>0.98107309309992041</v>
      </c>
      <c r="Z366" s="24"/>
      <c r="AA366" s="25">
        <f>Q366/W366</f>
        <v>5.6837558258497215E-5</v>
      </c>
      <c r="AB366" s="24"/>
      <c r="AC366" s="24"/>
      <c r="AD366" s="24"/>
      <c r="AE366" s="24"/>
      <c r="AF366" s="24"/>
      <c r="AG366" s="24"/>
    </row>
    <row r="367" spans="1:33">
      <c r="A367">
        <v>362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2</v>
      </c>
      <c r="J367">
        <v>0</v>
      </c>
      <c r="K367">
        <v>2</v>
      </c>
      <c r="L367">
        <v>17592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44</v>
      </c>
      <c r="W367" s="22">
        <f t="shared" si="15"/>
        <v>17597</v>
      </c>
      <c r="X367" t="str">
        <f t="shared" si="16"/>
        <v>M</v>
      </c>
      <c r="Y367" s="23">
        <f t="shared" si="17"/>
        <v>0.99971586065806672</v>
      </c>
      <c r="AA367" s="23"/>
    </row>
    <row r="368" spans="1:33">
      <c r="A368">
        <v>363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17583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44</v>
      </c>
      <c r="W368" s="22">
        <f t="shared" si="15"/>
        <v>17597</v>
      </c>
      <c r="X368" t="str">
        <f t="shared" si="16"/>
        <v>K</v>
      </c>
      <c r="Y368" s="23">
        <f t="shared" si="17"/>
        <v>0.99920440984258685</v>
      </c>
      <c r="AA368" s="23"/>
    </row>
    <row r="369" spans="1:35">
      <c r="A369" s="24">
        <v>364</v>
      </c>
      <c r="B369" s="24">
        <v>0</v>
      </c>
      <c r="C369" s="24">
        <v>0</v>
      </c>
      <c r="D369" s="24">
        <v>0</v>
      </c>
      <c r="E369" s="24">
        <v>0</v>
      </c>
      <c r="F369" s="24">
        <v>0</v>
      </c>
      <c r="G369" s="24">
        <v>0</v>
      </c>
      <c r="H369" s="24">
        <v>0</v>
      </c>
      <c r="I369" s="24">
        <v>17428</v>
      </c>
      <c r="J369" s="24">
        <v>0</v>
      </c>
      <c r="K369" s="24">
        <v>7</v>
      </c>
      <c r="L369" s="24">
        <v>0</v>
      </c>
      <c r="M369" s="24">
        <v>0</v>
      </c>
      <c r="N369" s="24">
        <v>0</v>
      </c>
      <c r="O369" s="24">
        <v>0</v>
      </c>
      <c r="P369" s="24">
        <v>0</v>
      </c>
      <c r="Q369" s="24">
        <v>0</v>
      </c>
      <c r="R369" s="24">
        <v>0</v>
      </c>
      <c r="S369" s="24">
        <v>160</v>
      </c>
      <c r="T369" s="24">
        <v>0</v>
      </c>
      <c r="U369" s="24">
        <v>0</v>
      </c>
      <c r="V369" s="24">
        <v>44</v>
      </c>
      <c r="W369" s="24">
        <f t="shared" si="15"/>
        <v>17595</v>
      </c>
      <c r="X369" s="24" t="str">
        <f t="shared" si="16"/>
        <v>I</v>
      </c>
      <c r="Y369" s="25">
        <f t="shared" si="17"/>
        <v>0.99050866723500997</v>
      </c>
      <c r="Z369" s="24"/>
      <c r="AA369" s="25">
        <f>K369/W369</f>
        <v>3.9784029553850523E-4</v>
      </c>
      <c r="AB369" s="24"/>
      <c r="AC369" s="24"/>
      <c r="AD369" s="24"/>
      <c r="AE369" s="24"/>
      <c r="AF369" s="24"/>
      <c r="AG369" s="24"/>
    </row>
    <row r="370" spans="1:35">
      <c r="A370">
        <v>365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17596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44</v>
      </c>
      <c r="W370" s="22">
        <f t="shared" si="15"/>
        <v>17596</v>
      </c>
      <c r="X370" t="str">
        <f t="shared" si="16"/>
        <v>R</v>
      </c>
      <c r="Y370" s="23">
        <f t="shared" si="17"/>
        <v>1</v>
      </c>
      <c r="AA370" s="23"/>
    </row>
    <row r="371" spans="1:35">
      <c r="A371">
        <v>366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17592</v>
      </c>
      <c r="S371">
        <v>0</v>
      </c>
      <c r="T371">
        <v>0</v>
      </c>
      <c r="U371">
        <v>0</v>
      </c>
      <c r="V371">
        <v>44</v>
      </c>
      <c r="W371" s="22">
        <f t="shared" si="15"/>
        <v>17594</v>
      </c>
      <c r="X371" t="str">
        <f t="shared" si="16"/>
        <v>T</v>
      </c>
      <c r="Y371" s="23">
        <f t="shared" si="17"/>
        <v>0.99988632488348306</v>
      </c>
      <c r="AA371" s="23"/>
    </row>
    <row r="372" spans="1:35">
      <c r="A372">
        <v>367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17594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44</v>
      </c>
      <c r="W372" s="22">
        <f t="shared" si="15"/>
        <v>17595</v>
      </c>
      <c r="X372" t="str">
        <f t="shared" si="16"/>
        <v>Q</v>
      </c>
      <c r="Y372" s="23">
        <f t="shared" si="17"/>
        <v>0.99994316567206598</v>
      </c>
      <c r="AA372" s="23"/>
    </row>
    <row r="373" spans="1:35">
      <c r="A373" s="24">
        <v>368</v>
      </c>
      <c r="B373" s="24">
        <v>0</v>
      </c>
      <c r="C373" s="24">
        <v>0</v>
      </c>
      <c r="D373" s="24">
        <v>0</v>
      </c>
      <c r="E373" s="24">
        <v>0</v>
      </c>
      <c r="F373" s="24">
        <v>0</v>
      </c>
      <c r="G373" s="24">
        <v>0</v>
      </c>
      <c r="H373" s="24">
        <v>0</v>
      </c>
      <c r="I373" s="24">
        <v>17578</v>
      </c>
      <c r="J373" s="24">
        <v>0</v>
      </c>
      <c r="K373" s="24">
        <v>1</v>
      </c>
      <c r="L373" s="24">
        <v>0</v>
      </c>
      <c r="M373" s="24">
        <v>0</v>
      </c>
      <c r="N373" s="24">
        <v>0</v>
      </c>
      <c r="O373" s="24">
        <v>0</v>
      </c>
      <c r="P373" s="24">
        <v>1</v>
      </c>
      <c r="Q373" s="24">
        <v>0</v>
      </c>
      <c r="R373" s="24">
        <v>0</v>
      </c>
      <c r="S373" s="24">
        <v>14</v>
      </c>
      <c r="T373" s="24">
        <v>0</v>
      </c>
      <c r="U373" s="24">
        <v>0</v>
      </c>
      <c r="V373" s="24">
        <v>44</v>
      </c>
      <c r="W373" s="24">
        <f t="shared" si="15"/>
        <v>17594</v>
      </c>
      <c r="X373" s="24" t="str">
        <f t="shared" si="16"/>
        <v>I</v>
      </c>
      <c r="Y373" s="25">
        <f t="shared" si="17"/>
        <v>0.99909059906786402</v>
      </c>
      <c r="Z373" s="24"/>
      <c r="AA373" s="25">
        <f>S373/W373</f>
        <v>7.9572581561896099E-4</v>
      </c>
      <c r="AB373" s="24"/>
      <c r="AC373" s="24"/>
      <c r="AD373" s="24"/>
      <c r="AE373" s="24"/>
      <c r="AF373" s="24"/>
      <c r="AG373" s="24"/>
      <c r="AH373" s="24"/>
    </row>
    <row r="374" spans="1:35">
      <c r="A374">
        <v>369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17582</v>
      </c>
      <c r="O374">
        <v>1</v>
      </c>
      <c r="P374">
        <v>0</v>
      </c>
      <c r="Q374">
        <v>11</v>
      </c>
      <c r="R374">
        <v>0</v>
      </c>
      <c r="S374">
        <v>0</v>
      </c>
      <c r="T374">
        <v>0</v>
      </c>
      <c r="U374">
        <v>0</v>
      </c>
      <c r="V374">
        <v>44</v>
      </c>
      <c r="W374" s="22">
        <f t="shared" si="15"/>
        <v>17594</v>
      </c>
      <c r="X374" t="str">
        <f t="shared" si="16"/>
        <v>P</v>
      </c>
      <c r="Y374" s="23">
        <f t="shared" si="17"/>
        <v>0.99931794930089801</v>
      </c>
      <c r="AA374" s="23"/>
    </row>
    <row r="375" spans="1:35">
      <c r="A375">
        <v>370</v>
      </c>
      <c r="B375">
        <v>17579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</v>
      </c>
      <c r="R375">
        <v>10</v>
      </c>
      <c r="S375">
        <v>5</v>
      </c>
      <c r="T375">
        <v>0</v>
      </c>
      <c r="U375">
        <v>0</v>
      </c>
      <c r="V375">
        <v>44</v>
      </c>
      <c r="W375" s="22">
        <f t="shared" si="15"/>
        <v>17597</v>
      </c>
      <c r="X375" t="str">
        <f t="shared" si="16"/>
        <v>A</v>
      </c>
      <c r="Y375" s="23">
        <f t="shared" si="17"/>
        <v>0.99897709836904014</v>
      </c>
      <c r="AA375" s="23"/>
    </row>
    <row r="376" spans="1:35">
      <c r="A376">
        <v>371</v>
      </c>
      <c r="B376">
        <v>0</v>
      </c>
      <c r="C376">
        <v>0</v>
      </c>
      <c r="D376">
        <v>0</v>
      </c>
      <c r="E376">
        <v>17592</v>
      </c>
      <c r="F376">
        <v>0</v>
      </c>
      <c r="G376">
        <v>2</v>
      </c>
      <c r="H376">
        <v>0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44</v>
      </c>
      <c r="W376" s="22">
        <f t="shared" si="15"/>
        <v>17596</v>
      </c>
      <c r="X376" t="str">
        <f t="shared" si="16"/>
        <v>E</v>
      </c>
      <c r="Y376" s="23">
        <f t="shared" si="17"/>
        <v>0.9997726756080928</v>
      </c>
      <c r="AA376" s="23"/>
    </row>
    <row r="377" spans="1:35">
      <c r="A377">
        <v>372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17</v>
      </c>
      <c r="J377">
        <v>0</v>
      </c>
      <c r="K377">
        <v>0</v>
      </c>
      <c r="L377">
        <v>17570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6</v>
      </c>
      <c r="S377">
        <v>4</v>
      </c>
      <c r="T377">
        <v>0</v>
      </c>
      <c r="U377">
        <v>0</v>
      </c>
      <c r="V377">
        <v>44</v>
      </c>
      <c r="W377" s="22">
        <f t="shared" si="15"/>
        <v>17598</v>
      </c>
      <c r="X377" t="str">
        <f t="shared" si="16"/>
        <v>M</v>
      </c>
      <c r="Y377" s="23">
        <f t="shared" si="17"/>
        <v>0.99840891010342081</v>
      </c>
      <c r="AA377" s="23"/>
    </row>
    <row r="378" spans="1:35">
      <c r="A378">
        <v>373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</v>
      </c>
      <c r="J378">
        <v>0</v>
      </c>
      <c r="K378">
        <v>17591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44</v>
      </c>
      <c r="W378" s="22">
        <f t="shared" si="15"/>
        <v>17597</v>
      </c>
      <c r="X378" t="str">
        <f t="shared" si="16"/>
        <v>L</v>
      </c>
      <c r="Y378" s="23">
        <f t="shared" si="17"/>
        <v>0.99965903278968005</v>
      </c>
      <c r="AA378" s="23"/>
    </row>
    <row r="379" spans="1:35">
      <c r="A379">
        <v>374</v>
      </c>
      <c r="B379">
        <v>17366</v>
      </c>
      <c r="C379">
        <v>0</v>
      </c>
      <c r="D379">
        <v>0</v>
      </c>
      <c r="E379">
        <v>4</v>
      </c>
      <c r="F379">
        <v>0</v>
      </c>
      <c r="G379">
        <v>0</v>
      </c>
      <c r="H379">
        <v>0</v>
      </c>
      <c r="I379">
        <v>4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11</v>
      </c>
      <c r="R379">
        <v>127</v>
      </c>
      <c r="S379">
        <v>81</v>
      </c>
      <c r="T379">
        <v>0</v>
      </c>
      <c r="U379">
        <v>0</v>
      </c>
      <c r="V379">
        <v>44</v>
      </c>
      <c r="W379" s="22">
        <f t="shared" si="15"/>
        <v>17593</v>
      </c>
      <c r="X379" t="str">
        <f t="shared" si="16"/>
        <v>A</v>
      </c>
      <c r="Y379" s="23">
        <f t="shared" si="17"/>
        <v>0.9870971409083158</v>
      </c>
      <c r="AA379" s="23"/>
    </row>
    <row r="380" spans="1:35">
      <c r="A380" s="24">
        <v>375</v>
      </c>
      <c r="B380" s="24">
        <v>0</v>
      </c>
      <c r="C380" s="24">
        <v>1</v>
      </c>
      <c r="D380" s="24">
        <v>0</v>
      </c>
      <c r="E380" s="24">
        <v>0</v>
      </c>
      <c r="F380" s="24">
        <v>0</v>
      </c>
      <c r="G380" s="24">
        <v>11</v>
      </c>
      <c r="H380" s="24">
        <v>0</v>
      </c>
      <c r="I380" s="24">
        <v>6</v>
      </c>
      <c r="J380" s="24">
        <v>0</v>
      </c>
      <c r="K380" s="24">
        <v>0</v>
      </c>
      <c r="L380" s="24">
        <v>0</v>
      </c>
      <c r="M380" s="24">
        <v>79</v>
      </c>
      <c r="N380" s="24">
        <v>0</v>
      </c>
      <c r="O380" s="24">
        <v>0</v>
      </c>
      <c r="P380" s="24">
        <v>1</v>
      </c>
      <c r="Q380" s="24">
        <v>17497</v>
      </c>
      <c r="R380" s="24">
        <v>0</v>
      </c>
      <c r="S380" s="24">
        <v>0</v>
      </c>
      <c r="T380" s="24">
        <v>0</v>
      </c>
      <c r="U380" s="24">
        <v>0</v>
      </c>
      <c r="V380" s="24">
        <v>44</v>
      </c>
      <c r="W380" s="24">
        <f t="shared" si="15"/>
        <v>17595</v>
      </c>
      <c r="X380" s="24" t="str">
        <f t="shared" si="16"/>
        <v>S</v>
      </c>
      <c r="Y380" s="25">
        <f t="shared" si="17"/>
        <v>0.99443023586246093</v>
      </c>
      <c r="Z380" s="24"/>
      <c r="AA380" s="25">
        <f>M380/W380</f>
        <v>4.4899119067917026E-3</v>
      </c>
      <c r="AB380" s="24"/>
      <c r="AC380" s="24"/>
      <c r="AD380" s="24"/>
      <c r="AE380" s="24"/>
      <c r="AF380" s="24"/>
      <c r="AG380" s="24"/>
      <c r="AH380" s="24"/>
      <c r="AI380" s="24"/>
    </row>
    <row r="381" spans="1:35">
      <c r="A381">
        <v>376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17593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3</v>
      </c>
      <c r="T381">
        <v>0</v>
      </c>
      <c r="U381">
        <v>0</v>
      </c>
      <c r="V381">
        <v>44</v>
      </c>
      <c r="W381" s="22">
        <f t="shared" si="15"/>
        <v>17596</v>
      </c>
      <c r="X381" t="str">
        <f t="shared" si="16"/>
        <v>I</v>
      </c>
      <c r="Y381" s="23">
        <f t="shared" si="17"/>
        <v>0.99982950670606952</v>
      </c>
      <c r="AA381" s="23"/>
    </row>
    <row r="382" spans="1:35">
      <c r="A382">
        <v>377</v>
      </c>
      <c r="B382">
        <v>0</v>
      </c>
      <c r="C382">
        <v>0</v>
      </c>
      <c r="D382">
        <v>17589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44</v>
      </c>
      <c r="W382" s="22">
        <f t="shared" si="15"/>
        <v>17595</v>
      </c>
      <c r="X382" t="str">
        <f t="shared" si="16"/>
        <v>D</v>
      </c>
      <c r="Y382" s="23">
        <f t="shared" si="17"/>
        <v>0.99965899403239555</v>
      </c>
      <c r="AA382" s="23"/>
    </row>
    <row r="383" spans="1:35">
      <c r="A383">
        <v>378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17592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44</v>
      </c>
      <c r="W383" s="22">
        <f t="shared" si="15"/>
        <v>17593</v>
      </c>
      <c r="X383" t="str">
        <f t="shared" si="16"/>
        <v>L</v>
      </c>
      <c r="Y383" s="23">
        <f t="shared" si="17"/>
        <v>0.99994315921104981</v>
      </c>
      <c r="AA383" s="23"/>
    </row>
    <row r="384" spans="1:35">
      <c r="A384">
        <v>379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17583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44</v>
      </c>
      <c r="W384" s="22">
        <f t="shared" si="15"/>
        <v>17595</v>
      </c>
      <c r="X384" t="str">
        <f t="shared" si="16"/>
        <v>K</v>
      </c>
      <c r="Y384" s="23">
        <f t="shared" si="17"/>
        <v>0.99931798806479111</v>
      </c>
      <c r="AA384" s="23"/>
    </row>
    <row r="385" spans="1:35">
      <c r="A385">
        <v>380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17596</v>
      </c>
      <c r="V385">
        <v>44</v>
      </c>
      <c r="W385" s="22">
        <f t="shared" si="15"/>
        <v>17596</v>
      </c>
      <c r="X385" t="str">
        <f t="shared" si="16"/>
        <v>Y</v>
      </c>
      <c r="Y385" s="23">
        <f t="shared" si="17"/>
        <v>1</v>
      </c>
      <c r="AA385" s="23"/>
    </row>
    <row r="386" spans="1:35">
      <c r="A386">
        <v>381</v>
      </c>
      <c r="B386">
        <v>0</v>
      </c>
      <c r="C386">
        <v>0</v>
      </c>
      <c r="D386">
        <v>0</v>
      </c>
      <c r="E386">
        <v>0</v>
      </c>
      <c r="F386">
        <v>17596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44</v>
      </c>
      <c r="W386" s="22">
        <f t="shared" si="15"/>
        <v>17596</v>
      </c>
      <c r="X386" t="str">
        <f t="shared" si="16"/>
        <v>F</v>
      </c>
      <c r="Y386" s="23">
        <f t="shared" si="17"/>
        <v>1</v>
      </c>
      <c r="AA386" s="23"/>
    </row>
    <row r="387" spans="1:35">
      <c r="A387">
        <v>382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17590</v>
      </c>
      <c r="N387">
        <v>0</v>
      </c>
      <c r="O387">
        <v>0</v>
      </c>
      <c r="P387">
        <v>0</v>
      </c>
      <c r="Q387">
        <v>3</v>
      </c>
      <c r="R387">
        <v>0</v>
      </c>
      <c r="S387">
        <v>0</v>
      </c>
      <c r="T387">
        <v>0</v>
      </c>
      <c r="U387">
        <v>1</v>
      </c>
      <c r="V387">
        <v>44</v>
      </c>
      <c r="W387" s="22">
        <f t="shared" si="15"/>
        <v>17594</v>
      </c>
      <c r="X387" t="str">
        <f t="shared" si="16"/>
        <v>N</v>
      </c>
      <c r="Y387" s="23">
        <f t="shared" si="17"/>
        <v>0.999772649766966</v>
      </c>
      <c r="AA387" s="23"/>
    </row>
    <row r="388" spans="1:35">
      <c r="A388" s="24">
        <v>383</v>
      </c>
      <c r="B388" s="24">
        <v>0</v>
      </c>
      <c r="C388" s="24">
        <v>0</v>
      </c>
      <c r="D388" s="24">
        <v>7</v>
      </c>
      <c r="E388" s="24">
        <v>17578</v>
      </c>
      <c r="F388" s="24">
        <v>0</v>
      </c>
      <c r="G388" s="24">
        <v>8</v>
      </c>
      <c r="H388" s="24">
        <v>0</v>
      </c>
      <c r="I388" s="24">
        <v>0</v>
      </c>
      <c r="J388" s="24">
        <v>0</v>
      </c>
      <c r="K388" s="24">
        <v>0</v>
      </c>
      <c r="L388" s="24">
        <v>0</v>
      </c>
      <c r="M388" s="24">
        <v>0</v>
      </c>
      <c r="N388" s="24">
        <v>0</v>
      </c>
      <c r="O388" s="24">
        <v>0</v>
      </c>
      <c r="P388" s="24">
        <v>0</v>
      </c>
      <c r="Q388" s="24">
        <v>0</v>
      </c>
      <c r="R388" s="24">
        <v>0</v>
      </c>
      <c r="S388" s="24">
        <v>0</v>
      </c>
      <c r="T388" s="24">
        <v>0</v>
      </c>
      <c r="U388" s="24">
        <v>0</v>
      </c>
      <c r="V388" s="24">
        <v>44</v>
      </c>
      <c r="W388" s="24">
        <f t="shared" si="15"/>
        <v>17593</v>
      </c>
      <c r="X388" s="24" t="str">
        <f t="shared" si="16"/>
        <v>E</v>
      </c>
      <c r="Y388" s="25">
        <f t="shared" si="17"/>
        <v>0.99914738816574777</v>
      </c>
      <c r="Z388" s="24"/>
      <c r="AA388" s="25">
        <f>J388/W388</f>
        <v>0</v>
      </c>
      <c r="AB388" s="24"/>
      <c r="AC388" s="24"/>
      <c r="AD388" s="24"/>
      <c r="AE388" s="24"/>
      <c r="AF388" s="24"/>
      <c r="AG388" s="24"/>
      <c r="AH388" s="24"/>
      <c r="AI388" s="24"/>
    </row>
    <row r="389" spans="1:35">
      <c r="A389">
        <v>384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7</v>
      </c>
      <c r="L389">
        <v>0</v>
      </c>
      <c r="M389">
        <v>0</v>
      </c>
      <c r="N389">
        <v>95</v>
      </c>
      <c r="O389">
        <v>0</v>
      </c>
      <c r="P389">
        <v>0</v>
      </c>
      <c r="Q389">
        <v>17491</v>
      </c>
      <c r="R389">
        <v>0</v>
      </c>
      <c r="S389">
        <v>0</v>
      </c>
      <c r="T389">
        <v>0</v>
      </c>
      <c r="U389">
        <v>0</v>
      </c>
      <c r="V389">
        <v>44</v>
      </c>
      <c r="W389" s="22">
        <f t="shared" si="15"/>
        <v>17595</v>
      </c>
      <c r="X389" t="str">
        <f t="shared" si="16"/>
        <v>S</v>
      </c>
      <c r="Y389" s="23">
        <f t="shared" si="17"/>
        <v>0.99408922989485649</v>
      </c>
      <c r="AA389" s="23"/>
    </row>
    <row r="390" spans="1:35">
      <c r="A390">
        <v>385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17595</v>
      </c>
      <c r="S390">
        <v>0</v>
      </c>
      <c r="T390">
        <v>0</v>
      </c>
      <c r="U390">
        <v>0</v>
      </c>
      <c r="V390">
        <v>43</v>
      </c>
      <c r="W390" s="22">
        <f t="shared" ref="W390:W453" si="18">SUM(B390:U390)</f>
        <v>17595</v>
      </c>
      <c r="X390" t="str">
        <f t="shared" ref="X390:X453" si="19">INDEX(($B$4:$U$4),MATCH(LARGE(B390:U390,1),B390:U390,0))</f>
        <v>T</v>
      </c>
      <c r="Y390" s="23">
        <f t="shared" ref="Y390:Y453" si="20">(MAX(B390:U390))/W390</f>
        <v>1</v>
      </c>
      <c r="AA390" s="23"/>
    </row>
    <row r="391" spans="1:35">
      <c r="A391" s="24">
        <v>386</v>
      </c>
      <c r="B391" s="24">
        <v>0</v>
      </c>
      <c r="C391" s="24">
        <v>0</v>
      </c>
      <c r="D391" s="24">
        <v>0</v>
      </c>
      <c r="E391" s="24">
        <v>0</v>
      </c>
      <c r="F391" s="24">
        <v>0</v>
      </c>
      <c r="G391" s="24">
        <v>0</v>
      </c>
      <c r="H391" s="24">
        <v>0</v>
      </c>
      <c r="I391" s="24">
        <v>0</v>
      </c>
      <c r="J391" s="24">
        <v>15644</v>
      </c>
      <c r="K391" s="24">
        <v>0</v>
      </c>
      <c r="L391" s="24">
        <v>1</v>
      </c>
      <c r="M391" s="24">
        <v>0</v>
      </c>
      <c r="N391" s="24">
        <v>0</v>
      </c>
      <c r="O391" s="24">
        <v>1</v>
      </c>
      <c r="P391" s="24">
        <v>1947</v>
      </c>
      <c r="Q391" s="24">
        <v>0</v>
      </c>
      <c r="R391" s="24">
        <v>1</v>
      </c>
      <c r="S391" s="24">
        <v>0</v>
      </c>
      <c r="T391" s="24">
        <v>0</v>
      </c>
      <c r="U391" s="24">
        <v>0</v>
      </c>
      <c r="V391" s="24">
        <v>43</v>
      </c>
      <c r="W391" s="24">
        <f t="shared" si="18"/>
        <v>17594</v>
      </c>
      <c r="X391" s="24" t="str">
        <f t="shared" si="19"/>
        <v>K</v>
      </c>
      <c r="Y391" s="25">
        <f t="shared" si="20"/>
        <v>0.88916676139593043</v>
      </c>
      <c r="Z391" s="24"/>
      <c r="AA391" s="25">
        <f>P391/W391</f>
        <v>0.11066272592929408</v>
      </c>
      <c r="AB391" s="24"/>
      <c r="AC391" s="24"/>
      <c r="AD391" s="24"/>
      <c r="AE391" s="24"/>
      <c r="AF391" s="24"/>
      <c r="AG391" s="24"/>
      <c r="AH391" s="24"/>
    </row>
    <row r="392" spans="1:35">
      <c r="A392" s="24">
        <v>387</v>
      </c>
      <c r="B392" s="24">
        <v>0</v>
      </c>
      <c r="C392" s="24">
        <v>0</v>
      </c>
      <c r="D392" s="24">
        <v>0</v>
      </c>
      <c r="E392" s="24">
        <v>3</v>
      </c>
      <c r="F392" s="24">
        <v>0</v>
      </c>
      <c r="G392" s="24">
        <v>1</v>
      </c>
      <c r="H392" s="24">
        <v>0</v>
      </c>
      <c r="I392" s="24">
        <v>0</v>
      </c>
      <c r="J392" s="24">
        <v>17550</v>
      </c>
      <c r="K392" s="24">
        <v>0</v>
      </c>
      <c r="L392" s="24">
        <v>2</v>
      </c>
      <c r="M392" s="24">
        <v>0</v>
      </c>
      <c r="N392" s="24">
        <v>0</v>
      </c>
      <c r="O392" s="24">
        <v>1</v>
      </c>
      <c r="P392" s="24">
        <v>29</v>
      </c>
      <c r="Q392" s="24">
        <v>0</v>
      </c>
      <c r="R392" s="24">
        <v>6</v>
      </c>
      <c r="S392" s="24">
        <v>0</v>
      </c>
      <c r="T392" s="24">
        <v>0</v>
      </c>
      <c r="U392" s="24">
        <v>0</v>
      </c>
      <c r="V392" s="24">
        <v>43</v>
      </c>
      <c r="W392" s="24">
        <f t="shared" si="18"/>
        <v>17592</v>
      </c>
      <c r="X392" s="24" t="str">
        <f t="shared" si="19"/>
        <v>K</v>
      </c>
      <c r="Y392" s="25">
        <f t="shared" si="20"/>
        <v>0.997612551159618</v>
      </c>
      <c r="Z392" s="24"/>
      <c r="AA392" s="25">
        <f>E392/W392</f>
        <v>1.7053206002728513E-4</v>
      </c>
      <c r="AB392" s="24"/>
      <c r="AC392" s="24"/>
      <c r="AD392" s="24"/>
      <c r="AE392" s="24"/>
      <c r="AF392" s="24"/>
      <c r="AG392" s="24"/>
      <c r="AH392" s="24"/>
    </row>
    <row r="393" spans="1:35">
      <c r="A393">
        <v>388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17571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43</v>
      </c>
      <c r="W393" s="22">
        <f t="shared" si="18"/>
        <v>17598</v>
      </c>
      <c r="X393" t="str">
        <f t="shared" si="19"/>
        <v>K</v>
      </c>
      <c r="Y393" s="23">
        <f t="shared" si="20"/>
        <v>0.99846573474258438</v>
      </c>
      <c r="AA393" s="23"/>
    </row>
    <row r="394" spans="1:35">
      <c r="A394">
        <v>389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17597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43</v>
      </c>
      <c r="W394" s="22">
        <f t="shared" si="18"/>
        <v>17598</v>
      </c>
      <c r="X394" t="str">
        <f t="shared" si="19"/>
        <v>I</v>
      </c>
      <c r="Y394" s="23">
        <f t="shared" si="20"/>
        <v>0.99994317536083643</v>
      </c>
      <c r="AA394" s="23"/>
    </row>
    <row r="395" spans="1:35">
      <c r="A395">
        <v>390</v>
      </c>
      <c r="B395">
        <v>0</v>
      </c>
      <c r="C395">
        <v>0</v>
      </c>
      <c r="D395">
        <v>5</v>
      </c>
      <c r="E395">
        <v>17582</v>
      </c>
      <c r="F395">
        <v>0</v>
      </c>
      <c r="G395">
        <v>0</v>
      </c>
      <c r="H395">
        <v>0</v>
      </c>
      <c r="I395">
        <v>0</v>
      </c>
      <c r="J395">
        <v>4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3</v>
      </c>
      <c r="T395">
        <v>0</v>
      </c>
      <c r="U395">
        <v>0</v>
      </c>
      <c r="V395">
        <v>43</v>
      </c>
      <c r="W395" s="22">
        <f t="shared" si="18"/>
        <v>17594</v>
      </c>
      <c r="X395" t="str">
        <f t="shared" si="19"/>
        <v>E</v>
      </c>
      <c r="Y395" s="23">
        <f t="shared" si="20"/>
        <v>0.99931794930089801</v>
      </c>
      <c r="AA395" s="23"/>
    </row>
    <row r="396" spans="1:35">
      <c r="A396">
        <v>391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17573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20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43</v>
      </c>
      <c r="W396" s="22">
        <f t="shared" si="18"/>
        <v>17594</v>
      </c>
      <c r="X396" t="str">
        <f t="shared" si="19"/>
        <v>K</v>
      </c>
      <c r="Y396" s="23">
        <f t="shared" si="20"/>
        <v>0.99880641127657155</v>
      </c>
      <c r="AA396" s="23"/>
    </row>
    <row r="397" spans="1:35">
      <c r="A397">
        <v>392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17588</v>
      </c>
      <c r="J397">
        <v>0</v>
      </c>
      <c r="K397">
        <v>1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5</v>
      </c>
      <c r="T397">
        <v>0</v>
      </c>
      <c r="U397">
        <v>0</v>
      </c>
      <c r="V397">
        <v>43</v>
      </c>
      <c r="W397" s="22">
        <f t="shared" si="18"/>
        <v>17597</v>
      </c>
      <c r="X397" t="str">
        <f t="shared" si="19"/>
        <v>I</v>
      </c>
      <c r="Y397" s="23">
        <f t="shared" si="20"/>
        <v>0.99948854918452013</v>
      </c>
      <c r="AA397" s="23"/>
    </row>
    <row r="398" spans="1:35">
      <c r="A398">
        <v>393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17570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43</v>
      </c>
      <c r="W398" s="22">
        <f t="shared" si="18"/>
        <v>17589</v>
      </c>
      <c r="X398" t="str">
        <f t="shared" si="19"/>
        <v>R</v>
      </c>
      <c r="Y398" s="23">
        <f t="shared" si="20"/>
        <v>0.99891977940758425</v>
      </c>
      <c r="AA398" s="23"/>
    </row>
    <row r="399" spans="1:35">
      <c r="A399">
        <v>394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17589</v>
      </c>
      <c r="O399">
        <v>0</v>
      </c>
      <c r="P399">
        <v>0</v>
      </c>
      <c r="Q399">
        <v>4</v>
      </c>
      <c r="R399">
        <v>0</v>
      </c>
      <c r="S399">
        <v>0</v>
      </c>
      <c r="T399">
        <v>0</v>
      </c>
      <c r="U399">
        <v>0</v>
      </c>
      <c r="V399">
        <v>43</v>
      </c>
      <c r="W399" s="22">
        <f t="shared" si="18"/>
        <v>17597</v>
      </c>
      <c r="X399" t="str">
        <f t="shared" si="19"/>
        <v>P</v>
      </c>
      <c r="Y399" s="23">
        <f t="shared" si="20"/>
        <v>0.99954537705290669</v>
      </c>
      <c r="AA399" s="23"/>
    </row>
    <row r="400" spans="1:35">
      <c r="A400">
        <v>395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17596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42</v>
      </c>
      <c r="W400" s="22">
        <f t="shared" si="18"/>
        <v>17597</v>
      </c>
      <c r="X400" t="str">
        <f t="shared" si="19"/>
        <v>L</v>
      </c>
      <c r="Y400" s="23">
        <f t="shared" si="20"/>
        <v>0.99994317213161332</v>
      </c>
      <c r="AA400" s="23"/>
    </row>
    <row r="401" spans="1:27">
      <c r="A401">
        <v>396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4</v>
      </c>
      <c r="J401">
        <v>0</v>
      </c>
      <c r="K401">
        <v>17593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42</v>
      </c>
      <c r="W401" s="22">
        <f t="shared" si="18"/>
        <v>17597</v>
      </c>
      <c r="X401" t="str">
        <f t="shared" si="19"/>
        <v>L</v>
      </c>
      <c r="Y401" s="23">
        <f t="shared" si="20"/>
        <v>0.9997726885264534</v>
      </c>
      <c r="AA401" s="23"/>
    </row>
    <row r="402" spans="1:27">
      <c r="A402">
        <v>397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3502</v>
      </c>
      <c r="J402">
        <v>7</v>
      </c>
      <c r="K402">
        <v>1</v>
      </c>
      <c r="L402">
        <v>14084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42</v>
      </c>
      <c r="W402" s="22">
        <f t="shared" si="18"/>
        <v>17597</v>
      </c>
      <c r="X402" t="str">
        <f t="shared" si="19"/>
        <v>M</v>
      </c>
      <c r="Y402" s="23">
        <f t="shared" si="20"/>
        <v>0.80036369835767462</v>
      </c>
      <c r="AA402" s="23"/>
    </row>
    <row r="403" spans="1:27">
      <c r="A403">
        <v>398</v>
      </c>
      <c r="B403">
        <v>0</v>
      </c>
      <c r="C403">
        <v>0</v>
      </c>
      <c r="D403">
        <v>17555</v>
      </c>
      <c r="E403">
        <v>7</v>
      </c>
      <c r="F403">
        <v>0</v>
      </c>
      <c r="G403">
        <v>17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42</v>
      </c>
      <c r="W403" s="22">
        <f t="shared" si="18"/>
        <v>17597</v>
      </c>
      <c r="X403" t="str">
        <f t="shared" si="19"/>
        <v>D</v>
      </c>
      <c r="Y403" s="23">
        <f t="shared" si="20"/>
        <v>0.99761322952776044</v>
      </c>
      <c r="AA403" s="23"/>
    </row>
    <row r="404" spans="1:27">
      <c r="A404">
        <v>399</v>
      </c>
      <c r="B404">
        <v>0</v>
      </c>
      <c r="C404">
        <v>0</v>
      </c>
      <c r="D404">
        <v>8</v>
      </c>
      <c r="E404">
        <v>0</v>
      </c>
      <c r="F404">
        <v>0</v>
      </c>
      <c r="G404">
        <v>17588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42</v>
      </c>
      <c r="W404" s="22">
        <f t="shared" si="18"/>
        <v>17597</v>
      </c>
      <c r="X404" t="str">
        <f t="shared" si="19"/>
        <v>G</v>
      </c>
      <c r="Y404" s="23">
        <f t="shared" si="20"/>
        <v>0.99948854918452013</v>
      </c>
      <c r="AA404" s="23"/>
    </row>
    <row r="405" spans="1:27">
      <c r="A405">
        <v>400</v>
      </c>
      <c r="B405">
        <v>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3</v>
      </c>
      <c r="R405">
        <v>17589</v>
      </c>
      <c r="S405">
        <v>0</v>
      </c>
      <c r="T405">
        <v>0</v>
      </c>
      <c r="U405">
        <v>0</v>
      </c>
      <c r="V405">
        <v>41</v>
      </c>
      <c r="W405" s="22">
        <f t="shared" si="18"/>
        <v>17600</v>
      </c>
      <c r="X405" t="str">
        <f t="shared" si="19"/>
        <v>T</v>
      </c>
      <c r="Y405" s="23">
        <f t="shared" si="20"/>
        <v>0.99937500000000001</v>
      </c>
      <c r="AA405" s="23"/>
    </row>
    <row r="406" spans="1:27">
      <c r="A406">
        <v>401</v>
      </c>
      <c r="B406">
        <v>17602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39</v>
      </c>
      <c r="W406" s="22">
        <f t="shared" si="18"/>
        <v>17603</v>
      </c>
      <c r="X406" t="str">
        <f t="shared" si="19"/>
        <v>A</v>
      </c>
      <c r="Y406" s="23">
        <f t="shared" si="20"/>
        <v>0.99994319150144861</v>
      </c>
      <c r="AA406" s="23"/>
    </row>
    <row r="407" spans="1:27">
      <c r="A407">
        <v>402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17601</v>
      </c>
      <c r="R407">
        <v>0</v>
      </c>
      <c r="S407">
        <v>0</v>
      </c>
      <c r="T407">
        <v>0</v>
      </c>
      <c r="U407">
        <v>0</v>
      </c>
      <c r="V407">
        <v>39</v>
      </c>
      <c r="W407" s="22">
        <f t="shared" si="18"/>
        <v>17601</v>
      </c>
      <c r="X407" t="str">
        <f t="shared" si="19"/>
        <v>S</v>
      </c>
      <c r="Y407" s="23">
        <f t="shared" si="20"/>
        <v>1</v>
      </c>
      <c r="AA407" s="23"/>
    </row>
    <row r="408" spans="1:27">
      <c r="A408">
        <v>403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17600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39</v>
      </c>
      <c r="W408" s="22">
        <f t="shared" si="18"/>
        <v>17600</v>
      </c>
      <c r="X408" t="str">
        <f t="shared" si="19"/>
        <v>L</v>
      </c>
      <c r="Y408" s="23">
        <f t="shared" si="20"/>
        <v>1</v>
      </c>
      <c r="AA408" s="23"/>
    </row>
    <row r="409" spans="1:27">
      <c r="A409">
        <v>404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17601</v>
      </c>
      <c r="R409">
        <v>0</v>
      </c>
      <c r="S409">
        <v>0</v>
      </c>
      <c r="T409">
        <v>0</v>
      </c>
      <c r="U409">
        <v>0</v>
      </c>
      <c r="V409">
        <v>39</v>
      </c>
      <c r="W409" s="22">
        <f t="shared" si="18"/>
        <v>17601</v>
      </c>
      <c r="X409" t="str">
        <f t="shared" si="19"/>
        <v>S</v>
      </c>
      <c r="Y409" s="23">
        <f t="shared" si="20"/>
        <v>1</v>
      </c>
      <c r="AA409" s="23"/>
    </row>
    <row r="410" spans="1:27">
      <c r="A410">
        <v>405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17599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39</v>
      </c>
      <c r="W410" s="22">
        <f t="shared" si="18"/>
        <v>17599</v>
      </c>
      <c r="X410" t="str">
        <f t="shared" si="19"/>
        <v>P</v>
      </c>
      <c r="Y410" s="23">
        <f t="shared" si="20"/>
        <v>1</v>
      </c>
      <c r="AA410" s="23"/>
    </row>
    <row r="411" spans="1:27">
      <c r="A411">
        <v>406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17600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39</v>
      </c>
      <c r="W411" s="22">
        <f t="shared" si="18"/>
        <v>17600</v>
      </c>
      <c r="X411" t="str">
        <f t="shared" si="19"/>
        <v>G</v>
      </c>
      <c r="Y411" s="23">
        <f t="shared" si="20"/>
        <v>1</v>
      </c>
      <c r="AA411" s="23"/>
    </row>
    <row r="412" spans="1:27">
      <c r="A412">
        <v>407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17602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38</v>
      </c>
      <c r="W412" s="22">
        <f t="shared" si="18"/>
        <v>17603</v>
      </c>
      <c r="X412" t="str">
        <f t="shared" si="19"/>
        <v>M</v>
      </c>
      <c r="Y412" s="23">
        <f t="shared" si="20"/>
        <v>0.99994319150144861</v>
      </c>
      <c r="AA412" s="23"/>
    </row>
    <row r="413" spans="1:27">
      <c r="A413">
        <v>408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17604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38</v>
      </c>
      <c r="W413" s="22">
        <f t="shared" si="18"/>
        <v>17604</v>
      </c>
      <c r="X413" t="str">
        <f t="shared" si="19"/>
        <v>M</v>
      </c>
      <c r="Y413" s="23">
        <f t="shared" si="20"/>
        <v>1</v>
      </c>
      <c r="AA413" s="23"/>
    </row>
    <row r="414" spans="1:27">
      <c r="A414">
        <v>409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17602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38</v>
      </c>
      <c r="W414" s="22">
        <f t="shared" si="18"/>
        <v>17602</v>
      </c>
      <c r="X414" t="str">
        <f t="shared" si="19"/>
        <v>M</v>
      </c>
      <c r="Y414" s="23">
        <f t="shared" si="20"/>
        <v>1</v>
      </c>
      <c r="AA414" s="23"/>
    </row>
    <row r="415" spans="1:27">
      <c r="A415">
        <v>410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17604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38</v>
      </c>
      <c r="W415" s="22">
        <f t="shared" si="18"/>
        <v>17604</v>
      </c>
      <c r="X415" t="str">
        <f t="shared" si="19"/>
        <v>G</v>
      </c>
      <c r="Y415" s="23">
        <f t="shared" si="20"/>
        <v>1</v>
      </c>
      <c r="AA415" s="23"/>
    </row>
    <row r="416" spans="1:27">
      <c r="A416">
        <v>411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17604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38</v>
      </c>
      <c r="W416" s="22">
        <f t="shared" si="18"/>
        <v>17604</v>
      </c>
      <c r="X416" t="str">
        <f t="shared" si="19"/>
        <v>M</v>
      </c>
      <c r="Y416" s="23">
        <f t="shared" si="20"/>
        <v>1</v>
      </c>
      <c r="AA416" s="23"/>
    </row>
    <row r="417" spans="1:27">
      <c r="A417">
        <v>412</v>
      </c>
      <c r="B417">
        <v>0</v>
      </c>
      <c r="C417">
        <v>0</v>
      </c>
      <c r="D417">
        <v>0</v>
      </c>
      <c r="E417">
        <v>0</v>
      </c>
      <c r="F417">
        <v>17602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38</v>
      </c>
      <c r="W417" s="22">
        <f t="shared" si="18"/>
        <v>17602</v>
      </c>
      <c r="X417" t="str">
        <f t="shared" si="19"/>
        <v>F</v>
      </c>
      <c r="Y417" s="23">
        <f t="shared" si="20"/>
        <v>1</v>
      </c>
      <c r="AA417" s="23"/>
    </row>
    <row r="418" spans="1:27">
      <c r="A418">
        <v>413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17602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38</v>
      </c>
      <c r="W418" s="22">
        <f t="shared" si="18"/>
        <v>17602</v>
      </c>
      <c r="X418" t="str">
        <f t="shared" si="19"/>
        <v>N</v>
      </c>
      <c r="Y418" s="23">
        <f t="shared" si="20"/>
        <v>1</v>
      </c>
      <c r="AA418" s="23"/>
    </row>
    <row r="419" spans="1:27">
      <c r="A419">
        <v>414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17602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38</v>
      </c>
      <c r="W419" s="22">
        <f t="shared" si="18"/>
        <v>17603</v>
      </c>
      <c r="X419" t="str">
        <f t="shared" si="19"/>
        <v>M</v>
      </c>
      <c r="Y419" s="23">
        <f t="shared" si="20"/>
        <v>0.99994319150144861</v>
      </c>
      <c r="AA419" s="23"/>
    </row>
    <row r="420" spans="1:27">
      <c r="A420">
        <v>415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17595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3</v>
      </c>
      <c r="T420">
        <v>0</v>
      </c>
      <c r="U420">
        <v>0</v>
      </c>
      <c r="V420">
        <v>38</v>
      </c>
      <c r="W420" s="22">
        <f t="shared" si="18"/>
        <v>17598</v>
      </c>
      <c r="X420" t="str">
        <f t="shared" si="19"/>
        <v>L</v>
      </c>
      <c r="Y420" s="23">
        <f t="shared" si="20"/>
        <v>0.99982952608250941</v>
      </c>
      <c r="AA420" s="23"/>
    </row>
    <row r="421" spans="1:27">
      <c r="A421">
        <v>416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17604</v>
      </c>
      <c r="R421">
        <v>0</v>
      </c>
      <c r="S421">
        <v>0</v>
      </c>
      <c r="T421">
        <v>0</v>
      </c>
      <c r="U421">
        <v>0</v>
      </c>
      <c r="V421">
        <v>38</v>
      </c>
      <c r="W421" s="22">
        <f t="shared" si="18"/>
        <v>17604</v>
      </c>
      <c r="X421" t="str">
        <f t="shared" si="19"/>
        <v>S</v>
      </c>
      <c r="Y421" s="23">
        <f t="shared" si="20"/>
        <v>1</v>
      </c>
      <c r="AA421" s="23"/>
    </row>
    <row r="422" spans="1:27">
      <c r="A422">
        <v>417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17602</v>
      </c>
      <c r="S422">
        <v>0</v>
      </c>
      <c r="T422">
        <v>0</v>
      </c>
      <c r="U422">
        <v>0</v>
      </c>
      <c r="V422">
        <v>38</v>
      </c>
      <c r="W422" s="22">
        <f t="shared" si="18"/>
        <v>17602</v>
      </c>
      <c r="X422" t="str">
        <f t="shared" si="19"/>
        <v>T</v>
      </c>
      <c r="Y422" s="23">
        <f t="shared" si="20"/>
        <v>1</v>
      </c>
      <c r="AA422" s="23"/>
    </row>
    <row r="423" spans="1:27">
      <c r="A423">
        <v>418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17592</v>
      </c>
      <c r="T423">
        <v>0</v>
      </c>
      <c r="U423">
        <v>0</v>
      </c>
      <c r="V423">
        <v>38</v>
      </c>
      <c r="W423" s="22">
        <f t="shared" si="18"/>
        <v>17597</v>
      </c>
      <c r="X423" t="str">
        <f t="shared" si="19"/>
        <v>V</v>
      </c>
      <c r="Y423" s="23">
        <f t="shared" si="20"/>
        <v>0.99971586065806672</v>
      </c>
      <c r="AA423" s="23"/>
    </row>
    <row r="424" spans="1:27">
      <c r="A424">
        <v>419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17602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37</v>
      </c>
      <c r="W424" s="22">
        <f t="shared" si="18"/>
        <v>17603</v>
      </c>
      <c r="X424" t="str">
        <f t="shared" si="19"/>
        <v>L</v>
      </c>
      <c r="Y424" s="23">
        <f t="shared" si="20"/>
        <v>0.99994319150144861</v>
      </c>
      <c r="AA424" s="23"/>
    </row>
    <row r="425" spans="1:27">
      <c r="A425">
        <v>420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17605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37</v>
      </c>
      <c r="W425" s="22">
        <f t="shared" si="18"/>
        <v>17605</v>
      </c>
      <c r="X425" t="str">
        <f t="shared" si="19"/>
        <v>G</v>
      </c>
      <c r="Y425" s="23">
        <f t="shared" si="20"/>
        <v>1</v>
      </c>
      <c r="AA425" s="23"/>
    </row>
    <row r="426" spans="1:27">
      <c r="A426">
        <v>421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17602</v>
      </c>
      <c r="T426">
        <v>0</v>
      </c>
      <c r="U426">
        <v>0</v>
      </c>
      <c r="V426">
        <v>37</v>
      </c>
      <c r="W426" s="22">
        <f t="shared" si="18"/>
        <v>17603</v>
      </c>
      <c r="X426" t="str">
        <f t="shared" si="19"/>
        <v>V</v>
      </c>
      <c r="Y426" s="23">
        <f t="shared" si="20"/>
        <v>0.99994319150144861</v>
      </c>
      <c r="AA426" s="23"/>
    </row>
    <row r="427" spans="1:27">
      <c r="A427">
        <v>422</v>
      </c>
      <c r="B427">
        <v>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17593</v>
      </c>
      <c r="R427">
        <v>0</v>
      </c>
      <c r="S427">
        <v>0</v>
      </c>
      <c r="T427">
        <v>0</v>
      </c>
      <c r="U427">
        <v>0</v>
      </c>
      <c r="V427">
        <v>37</v>
      </c>
      <c r="W427" s="22">
        <f t="shared" si="18"/>
        <v>17597</v>
      </c>
      <c r="X427" t="str">
        <f t="shared" si="19"/>
        <v>S</v>
      </c>
      <c r="Y427" s="23">
        <f t="shared" si="20"/>
        <v>0.9997726885264534</v>
      </c>
      <c r="AA427" s="23"/>
    </row>
    <row r="428" spans="1:27">
      <c r="A428">
        <v>423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17571</v>
      </c>
      <c r="J428">
        <v>0</v>
      </c>
      <c r="K428">
        <v>0</v>
      </c>
      <c r="L428">
        <v>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28</v>
      </c>
      <c r="T428">
        <v>0</v>
      </c>
      <c r="U428">
        <v>0</v>
      </c>
      <c r="V428">
        <v>37</v>
      </c>
      <c r="W428" s="22">
        <f t="shared" si="18"/>
        <v>17605</v>
      </c>
      <c r="X428" t="str">
        <f t="shared" si="19"/>
        <v>I</v>
      </c>
      <c r="Y428" s="23">
        <f t="shared" si="20"/>
        <v>0.99806873047429712</v>
      </c>
      <c r="AA428" s="23"/>
    </row>
    <row r="429" spans="1:27">
      <c r="A429">
        <v>424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17597</v>
      </c>
      <c r="L429">
        <v>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37</v>
      </c>
      <c r="W429" s="22">
        <f t="shared" si="18"/>
        <v>17601</v>
      </c>
      <c r="X429" t="str">
        <f t="shared" si="19"/>
        <v>L</v>
      </c>
      <c r="Y429" s="23">
        <f t="shared" si="20"/>
        <v>0.99977274018521678</v>
      </c>
      <c r="AA429" s="23"/>
    </row>
    <row r="430" spans="1:27">
      <c r="A430">
        <v>425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17602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37</v>
      </c>
      <c r="W430" s="22">
        <f t="shared" si="18"/>
        <v>17602</v>
      </c>
      <c r="X430" t="str">
        <f t="shared" si="19"/>
        <v>N</v>
      </c>
      <c r="Y430" s="23">
        <f t="shared" si="20"/>
        <v>1</v>
      </c>
      <c r="AA430" s="23"/>
    </row>
    <row r="431" spans="1:27">
      <c r="A431">
        <v>426</v>
      </c>
      <c r="B431">
        <v>0</v>
      </c>
      <c r="C431">
        <v>0</v>
      </c>
      <c r="D431">
        <v>0</v>
      </c>
      <c r="E431">
        <v>0</v>
      </c>
      <c r="F431">
        <v>4</v>
      </c>
      <c r="G431">
        <v>0</v>
      </c>
      <c r="H431">
        <v>0</v>
      </c>
      <c r="I431">
        <v>11</v>
      </c>
      <c r="J431">
        <v>0</v>
      </c>
      <c r="K431">
        <v>17584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37</v>
      </c>
      <c r="W431" s="22">
        <f t="shared" si="18"/>
        <v>17599</v>
      </c>
      <c r="X431" t="str">
        <f t="shared" si="19"/>
        <v>L</v>
      </c>
      <c r="Y431" s="23">
        <f t="shared" si="20"/>
        <v>0.99914767884538891</v>
      </c>
      <c r="AA431" s="23"/>
    </row>
    <row r="432" spans="1:27">
      <c r="A432">
        <v>427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17601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37</v>
      </c>
      <c r="W432" s="22">
        <f t="shared" si="18"/>
        <v>17601</v>
      </c>
      <c r="X432" t="str">
        <f t="shared" si="19"/>
        <v>G</v>
      </c>
      <c r="Y432" s="23">
        <f t="shared" si="20"/>
        <v>1</v>
      </c>
      <c r="AA432" s="23"/>
    </row>
    <row r="433" spans="1:33">
      <c r="A433">
        <v>428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17597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37</v>
      </c>
      <c r="W433" s="22">
        <f t="shared" si="18"/>
        <v>17598</v>
      </c>
      <c r="X433" t="str">
        <f t="shared" si="19"/>
        <v>Q</v>
      </c>
      <c r="Y433" s="23">
        <f t="shared" si="20"/>
        <v>0.99994317536083643</v>
      </c>
      <c r="AA433" s="23"/>
    </row>
    <row r="434" spans="1:33">
      <c r="A434">
        <v>429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17588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37</v>
      </c>
      <c r="W434" s="22">
        <f t="shared" si="18"/>
        <v>17602</v>
      </c>
      <c r="X434" t="str">
        <f t="shared" si="19"/>
        <v>K</v>
      </c>
      <c r="Y434" s="23">
        <f t="shared" si="20"/>
        <v>0.99920463583683672</v>
      </c>
      <c r="AA434" s="23"/>
    </row>
    <row r="435" spans="1:33">
      <c r="A435">
        <v>430</v>
      </c>
      <c r="B435">
        <v>0</v>
      </c>
      <c r="C435">
        <v>0</v>
      </c>
      <c r="D435">
        <v>0</v>
      </c>
      <c r="E435">
        <v>6</v>
      </c>
      <c r="F435">
        <v>0</v>
      </c>
      <c r="G435">
        <v>0</v>
      </c>
      <c r="H435">
        <v>0</v>
      </c>
      <c r="I435">
        <v>0</v>
      </c>
      <c r="J435">
        <v>17483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107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37</v>
      </c>
      <c r="W435" s="22">
        <f t="shared" si="18"/>
        <v>17597</v>
      </c>
      <c r="X435" t="str">
        <f t="shared" si="19"/>
        <v>K</v>
      </c>
      <c r="Y435" s="23">
        <f t="shared" si="20"/>
        <v>0.99352162300392111</v>
      </c>
      <c r="AA435" s="23"/>
    </row>
    <row r="436" spans="1:33">
      <c r="A436">
        <v>431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19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17581</v>
      </c>
      <c r="V436">
        <v>37</v>
      </c>
      <c r="W436" s="22">
        <f t="shared" si="18"/>
        <v>17601</v>
      </c>
      <c r="X436" t="str">
        <f t="shared" si="19"/>
        <v>Y</v>
      </c>
      <c r="Y436" s="23">
        <f t="shared" si="20"/>
        <v>0.99886370092608379</v>
      </c>
      <c r="AA436" s="23"/>
    </row>
    <row r="437" spans="1:33">
      <c r="A437">
        <v>432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17600</v>
      </c>
      <c r="S437">
        <v>0</v>
      </c>
      <c r="T437">
        <v>0</v>
      </c>
      <c r="U437">
        <v>0</v>
      </c>
      <c r="V437">
        <v>38</v>
      </c>
      <c r="W437" s="22">
        <f t="shared" si="18"/>
        <v>17603</v>
      </c>
      <c r="X437" t="str">
        <f t="shared" si="19"/>
        <v>T</v>
      </c>
      <c r="Y437" s="23">
        <f t="shared" si="20"/>
        <v>0.99982957450434584</v>
      </c>
      <c r="AA437" s="23"/>
    </row>
    <row r="438" spans="1:33">
      <c r="A438">
        <v>433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17588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38</v>
      </c>
      <c r="W438" s="22">
        <f t="shared" si="18"/>
        <v>17596</v>
      </c>
      <c r="X438" t="str">
        <f t="shared" si="19"/>
        <v>K</v>
      </c>
      <c r="Y438" s="23">
        <f t="shared" si="20"/>
        <v>0.99954535121618548</v>
      </c>
      <c r="AA438" s="23"/>
    </row>
    <row r="439" spans="1:33">
      <c r="A439">
        <v>434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17602</v>
      </c>
      <c r="S439">
        <v>0</v>
      </c>
      <c r="T439">
        <v>0</v>
      </c>
      <c r="U439">
        <v>0</v>
      </c>
      <c r="V439">
        <v>38</v>
      </c>
      <c r="W439" s="22">
        <f t="shared" si="18"/>
        <v>17602</v>
      </c>
      <c r="X439" t="str">
        <f t="shared" si="19"/>
        <v>T</v>
      </c>
      <c r="Y439" s="23">
        <f t="shared" si="20"/>
        <v>1</v>
      </c>
      <c r="AA439" s="23"/>
    </row>
    <row r="440" spans="1:33">
      <c r="A440" s="24">
        <v>435</v>
      </c>
      <c r="B440" s="24">
        <v>0</v>
      </c>
      <c r="C440" s="24">
        <v>0</v>
      </c>
      <c r="D440" s="24">
        <v>0</v>
      </c>
      <c r="E440" s="24">
        <v>0</v>
      </c>
      <c r="F440" s="24">
        <v>0</v>
      </c>
      <c r="G440" s="24">
        <v>0</v>
      </c>
      <c r="H440" s="24">
        <v>0</v>
      </c>
      <c r="I440" s="24">
        <v>3257</v>
      </c>
      <c r="J440" s="24">
        <v>0</v>
      </c>
      <c r="K440" s="24">
        <v>0</v>
      </c>
      <c r="L440" s="24">
        <v>1</v>
      </c>
      <c r="M440" s="24">
        <v>0</v>
      </c>
      <c r="N440" s="24">
        <v>1</v>
      </c>
      <c r="O440" s="24">
        <v>0</v>
      </c>
      <c r="P440" s="24">
        <v>0</v>
      </c>
      <c r="Q440" s="24">
        <v>0</v>
      </c>
      <c r="R440" s="24">
        <v>14205</v>
      </c>
      <c r="S440" s="24">
        <v>134</v>
      </c>
      <c r="T440" s="24">
        <v>0</v>
      </c>
      <c r="U440" s="24">
        <v>0</v>
      </c>
      <c r="V440" s="24">
        <v>38</v>
      </c>
      <c r="W440" s="24">
        <f t="shared" si="18"/>
        <v>17598</v>
      </c>
      <c r="X440" s="24" t="str">
        <f t="shared" si="19"/>
        <v>T</v>
      </c>
      <c r="Y440" s="25">
        <f t="shared" si="20"/>
        <v>0.80719399931810432</v>
      </c>
      <c r="Z440" s="24"/>
      <c r="AA440" s="25">
        <f>I440/W440</f>
        <v>0.18507784975565406</v>
      </c>
      <c r="AB440" s="24"/>
      <c r="AC440" s="24"/>
      <c r="AD440" s="24"/>
      <c r="AE440" s="24"/>
      <c r="AF440" s="24"/>
      <c r="AG440" s="24"/>
    </row>
    <row r="441" spans="1:33">
      <c r="A441">
        <v>436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17596</v>
      </c>
      <c r="V441">
        <v>38</v>
      </c>
      <c r="W441" s="22">
        <f t="shared" si="18"/>
        <v>17598</v>
      </c>
      <c r="X441" t="str">
        <f t="shared" si="19"/>
        <v>Y</v>
      </c>
      <c r="Y441" s="23">
        <f t="shared" si="20"/>
        <v>0.99988635072167287</v>
      </c>
      <c r="AA441" s="23"/>
    </row>
    <row r="442" spans="1:33">
      <c r="A442">
        <v>437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17601</v>
      </c>
      <c r="U442">
        <v>0</v>
      </c>
      <c r="V442">
        <v>38</v>
      </c>
      <c r="W442" s="22">
        <f t="shared" si="18"/>
        <v>17603</v>
      </c>
      <c r="X442" t="str">
        <f t="shared" si="19"/>
        <v>W</v>
      </c>
      <c r="Y442" s="23">
        <f t="shared" si="20"/>
        <v>0.99988638300289723</v>
      </c>
      <c r="AA442" s="23"/>
    </row>
    <row r="443" spans="1:33">
      <c r="A443">
        <v>438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17602</v>
      </c>
      <c r="U443">
        <v>0</v>
      </c>
      <c r="V443">
        <v>38</v>
      </c>
      <c r="W443" s="22">
        <f t="shared" si="18"/>
        <v>17602</v>
      </c>
      <c r="X443" t="str">
        <f t="shared" si="19"/>
        <v>W</v>
      </c>
      <c r="Y443" s="23">
        <f t="shared" si="20"/>
        <v>1</v>
      </c>
      <c r="AA443" s="23"/>
    </row>
    <row r="444" spans="1:33">
      <c r="A444">
        <v>439</v>
      </c>
      <c r="B444">
        <v>0</v>
      </c>
      <c r="C444">
        <v>0</v>
      </c>
      <c r="D444">
        <v>17589</v>
      </c>
      <c r="E444">
        <v>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38</v>
      </c>
      <c r="W444" s="22">
        <f t="shared" si="18"/>
        <v>17597</v>
      </c>
      <c r="X444" t="str">
        <f t="shared" si="19"/>
        <v>D</v>
      </c>
      <c r="Y444" s="23">
        <f t="shared" si="20"/>
        <v>0.99954537705290669</v>
      </c>
      <c r="AA444" s="23"/>
    </row>
    <row r="445" spans="1:33">
      <c r="A445">
        <v>440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17599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38</v>
      </c>
      <c r="W445" s="22">
        <f t="shared" si="18"/>
        <v>17599</v>
      </c>
      <c r="X445" t="str">
        <f t="shared" si="19"/>
        <v>G</v>
      </c>
      <c r="Y445" s="23">
        <f t="shared" si="20"/>
        <v>1</v>
      </c>
      <c r="AA445" s="23"/>
    </row>
    <row r="446" spans="1:33">
      <c r="A446">
        <v>441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3</v>
      </c>
      <c r="J446">
        <v>0</v>
      </c>
      <c r="K446">
        <v>17597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38</v>
      </c>
      <c r="W446" s="22">
        <f t="shared" si="18"/>
        <v>17600</v>
      </c>
      <c r="X446" t="str">
        <f t="shared" si="19"/>
        <v>L</v>
      </c>
      <c r="Y446" s="23">
        <f t="shared" si="20"/>
        <v>0.9998295454545455</v>
      </c>
      <c r="AA446" s="23"/>
    </row>
    <row r="447" spans="1:33">
      <c r="A447">
        <v>442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17603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38</v>
      </c>
      <c r="W447" s="22">
        <f t="shared" si="18"/>
        <v>17603</v>
      </c>
      <c r="X447" t="str">
        <f t="shared" si="19"/>
        <v>Q</v>
      </c>
      <c r="Y447" s="23">
        <f t="shared" si="20"/>
        <v>1</v>
      </c>
      <c r="AA447" s="23"/>
    </row>
    <row r="448" spans="1:33">
      <c r="A448">
        <v>443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17602</v>
      </c>
      <c r="R448">
        <v>0</v>
      </c>
      <c r="S448">
        <v>0</v>
      </c>
      <c r="T448">
        <v>0</v>
      </c>
      <c r="U448">
        <v>0</v>
      </c>
      <c r="V448">
        <v>38</v>
      </c>
      <c r="W448" s="22">
        <f t="shared" si="18"/>
        <v>17602</v>
      </c>
      <c r="X448" t="str">
        <f t="shared" si="19"/>
        <v>S</v>
      </c>
      <c r="Y448" s="23">
        <f t="shared" si="20"/>
        <v>1</v>
      </c>
      <c r="AA448" s="23"/>
    </row>
    <row r="449" spans="1:27">
      <c r="A449">
        <v>444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17599</v>
      </c>
      <c r="R449">
        <v>0</v>
      </c>
      <c r="S449">
        <v>0</v>
      </c>
      <c r="T449">
        <v>0</v>
      </c>
      <c r="U449">
        <v>1</v>
      </c>
      <c r="V449">
        <v>38</v>
      </c>
      <c r="W449" s="22">
        <f t="shared" si="18"/>
        <v>17600</v>
      </c>
      <c r="X449" t="str">
        <f t="shared" si="19"/>
        <v>S</v>
      </c>
      <c r="Y449" s="23">
        <f t="shared" si="20"/>
        <v>0.99994318181818187</v>
      </c>
      <c r="AA449" s="23"/>
    </row>
    <row r="450" spans="1:27">
      <c r="A450">
        <v>445</v>
      </c>
      <c r="B450">
        <v>0</v>
      </c>
      <c r="C450">
        <v>0</v>
      </c>
      <c r="D450">
        <v>17601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37</v>
      </c>
      <c r="W450" s="22">
        <f t="shared" si="18"/>
        <v>17601</v>
      </c>
      <c r="X450" t="str">
        <f t="shared" si="19"/>
        <v>D</v>
      </c>
      <c r="Y450" s="23">
        <f t="shared" si="20"/>
        <v>1</v>
      </c>
      <c r="AA450" s="23"/>
    </row>
    <row r="451" spans="1:27">
      <c r="A451">
        <v>446</v>
      </c>
      <c r="B451">
        <v>0</v>
      </c>
      <c r="C451">
        <v>0</v>
      </c>
      <c r="D451">
        <v>17604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37</v>
      </c>
      <c r="W451" s="22">
        <f t="shared" si="18"/>
        <v>17604</v>
      </c>
      <c r="X451" t="str">
        <f t="shared" si="19"/>
        <v>D</v>
      </c>
      <c r="Y451" s="23">
        <f t="shared" si="20"/>
        <v>1</v>
      </c>
      <c r="AA451" s="23"/>
    </row>
    <row r="452" spans="1:27">
      <c r="A452">
        <v>447</v>
      </c>
      <c r="B452">
        <v>0</v>
      </c>
      <c r="C452">
        <v>0</v>
      </c>
      <c r="D452">
        <v>0</v>
      </c>
      <c r="E452">
        <v>0</v>
      </c>
      <c r="F452">
        <v>17602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37</v>
      </c>
      <c r="W452" s="22">
        <f t="shared" si="18"/>
        <v>17603</v>
      </c>
      <c r="X452" t="str">
        <f t="shared" si="19"/>
        <v>F</v>
      </c>
      <c r="Y452" s="23">
        <f t="shared" si="20"/>
        <v>0.99994319150144861</v>
      </c>
      <c r="AA452" s="23"/>
    </row>
    <row r="453" spans="1:27">
      <c r="A453">
        <v>448</v>
      </c>
      <c r="B453">
        <v>17598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</v>
      </c>
      <c r="S453">
        <v>2</v>
      </c>
      <c r="T453">
        <v>0</v>
      </c>
      <c r="U453">
        <v>0</v>
      </c>
      <c r="V453">
        <v>37</v>
      </c>
      <c r="W453" s="22">
        <f t="shared" si="18"/>
        <v>17602</v>
      </c>
      <c r="X453" t="str">
        <f t="shared" si="19"/>
        <v>A</v>
      </c>
      <c r="Y453" s="23">
        <f t="shared" si="20"/>
        <v>0.99977275309623903</v>
      </c>
      <c r="AA453" s="23"/>
    </row>
    <row r="454" spans="1:27">
      <c r="A454">
        <v>449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17604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37</v>
      </c>
      <c r="W454" s="22">
        <f t="shared" ref="W454:W517" si="21">SUM(B454:U454)</f>
        <v>17605</v>
      </c>
      <c r="X454" t="str">
        <f t="shared" ref="X454:X517" si="22">INDEX(($B$4:$U$4),MATCH(LARGE(B454:U454,1),B454:U454,0))</f>
        <v>L</v>
      </c>
      <c r="Y454" s="23">
        <f t="shared" ref="Y454:Y517" si="23">(MAX(B454:U454))/W454</f>
        <v>0.99994319795512643</v>
      </c>
      <c r="AA454" s="23"/>
    </row>
    <row r="455" spans="1:27">
      <c r="A455">
        <v>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17603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37</v>
      </c>
      <c r="W455" s="22">
        <f t="shared" si="21"/>
        <v>17604</v>
      </c>
      <c r="X455" t="str">
        <f t="shared" si="22"/>
        <v>I</v>
      </c>
      <c r="Y455" s="23">
        <f t="shared" si="23"/>
        <v>0.99994319472847082</v>
      </c>
      <c r="AA455" s="23"/>
    </row>
    <row r="456" spans="1:27">
      <c r="A456">
        <v>451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21</v>
      </c>
      <c r="J456">
        <v>0</v>
      </c>
      <c r="K456">
        <v>2</v>
      </c>
      <c r="L456">
        <v>10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17571</v>
      </c>
      <c r="T456">
        <v>0</v>
      </c>
      <c r="U456">
        <v>0</v>
      </c>
      <c r="V456">
        <v>36</v>
      </c>
      <c r="W456" s="22">
        <f t="shared" si="21"/>
        <v>17604</v>
      </c>
      <c r="X456" t="str">
        <f t="shared" si="22"/>
        <v>V</v>
      </c>
      <c r="Y456" s="23">
        <f t="shared" si="23"/>
        <v>0.99812542603953647</v>
      </c>
      <c r="AA456" s="23"/>
    </row>
    <row r="457" spans="1:27">
      <c r="A457">
        <v>452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17606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36</v>
      </c>
      <c r="W457" s="22">
        <f t="shared" si="21"/>
        <v>17606</v>
      </c>
      <c r="X457" t="str">
        <f t="shared" si="22"/>
        <v>N</v>
      </c>
      <c r="Y457" s="23">
        <f t="shared" si="23"/>
        <v>1</v>
      </c>
      <c r="AA457" s="23"/>
    </row>
    <row r="458" spans="1:27">
      <c r="A458">
        <v>453</v>
      </c>
      <c r="B458">
        <v>17603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0</v>
      </c>
      <c r="S458">
        <v>0</v>
      </c>
      <c r="T458">
        <v>0</v>
      </c>
      <c r="U458">
        <v>0</v>
      </c>
      <c r="V458">
        <v>36</v>
      </c>
      <c r="W458" s="22">
        <f t="shared" si="21"/>
        <v>17605</v>
      </c>
      <c r="X458" t="str">
        <f t="shared" si="22"/>
        <v>A</v>
      </c>
      <c r="Y458" s="23">
        <f t="shared" si="23"/>
        <v>0.99988639591025275</v>
      </c>
      <c r="AA458" s="23"/>
    </row>
    <row r="459" spans="1:27">
      <c r="A459">
        <v>454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0</v>
      </c>
      <c r="M459">
        <v>0</v>
      </c>
      <c r="N459">
        <v>17367</v>
      </c>
      <c r="O459">
        <v>4</v>
      </c>
      <c r="P459">
        <v>0</v>
      </c>
      <c r="Q459">
        <v>140</v>
      </c>
      <c r="R459">
        <v>89</v>
      </c>
      <c r="S459">
        <v>0</v>
      </c>
      <c r="T459">
        <v>0</v>
      </c>
      <c r="U459">
        <v>0</v>
      </c>
      <c r="V459">
        <v>36</v>
      </c>
      <c r="W459" s="22">
        <f t="shared" si="21"/>
        <v>17602</v>
      </c>
      <c r="X459" t="str">
        <f t="shared" si="22"/>
        <v>P</v>
      </c>
      <c r="Y459" s="23">
        <f t="shared" si="23"/>
        <v>0.986649244404045</v>
      </c>
      <c r="AA459" s="23"/>
    </row>
    <row r="460" spans="1:27">
      <c r="A460">
        <v>455</v>
      </c>
      <c r="B460">
        <v>0</v>
      </c>
      <c r="C460">
        <v>0</v>
      </c>
      <c r="D460">
        <v>21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17560</v>
      </c>
      <c r="N460">
        <v>0</v>
      </c>
      <c r="O460">
        <v>0</v>
      </c>
      <c r="P460">
        <v>0</v>
      </c>
      <c r="Q460">
        <v>17</v>
      </c>
      <c r="R460">
        <v>2</v>
      </c>
      <c r="S460">
        <v>0</v>
      </c>
      <c r="T460">
        <v>0</v>
      </c>
      <c r="U460">
        <v>0</v>
      </c>
      <c r="V460">
        <v>36</v>
      </c>
      <c r="W460" s="22">
        <f t="shared" si="21"/>
        <v>17600</v>
      </c>
      <c r="X460" t="str">
        <f t="shared" si="22"/>
        <v>N</v>
      </c>
      <c r="Y460" s="23">
        <f t="shared" si="23"/>
        <v>0.99772727272727268</v>
      </c>
      <c r="AA460" s="23"/>
    </row>
    <row r="461" spans="1:27">
      <c r="A461">
        <v>456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17559</v>
      </c>
      <c r="I461">
        <v>0</v>
      </c>
      <c r="J461">
        <v>0</v>
      </c>
      <c r="K461">
        <v>2</v>
      </c>
      <c r="L461">
        <v>0</v>
      </c>
      <c r="M461">
        <v>12</v>
      </c>
      <c r="N461">
        <v>0</v>
      </c>
      <c r="O461">
        <v>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23</v>
      </c>
      <c r="V461">
        <v>36</v>
      </c>
      <c r="W461" s="22">
        <f t="shared" si="21"/>
        <v>17602</v>
      </c>
      <c r="X461" t="str">
        <f t="shared" si="22"/>
        <v>H</v>
      </c>
      <c r="Y461" s="23">
        <f t="shared" si="23"/>
        <v>0.99755709578456997</v>
      </c>
      <c r="AA461" s="23"/>
    </row>
    <row r="462" spans="1:27">
      <c r="A462">
        <v>457</v>
      </c>
      <c r="B462">
        <v>5</v>
      </c>
      <c r="C462">
        <v>0</v>
      </c>
      <c r="D462">
        <v>33</v>
      </c>
      <c r="E462">
        <v>17546</v>
      </c>
      <c r="F462">
        <v>0</v>
      </c>
      <c r="G462">
        <v>12</v>
      </c>
      <c r="H462">
        <v>0</v>
      </c>
      <c r="I462">
        <v>0</v>
      </c>
      <c r="J462">
        <v>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2</v>
      </c>
      <c r="T462">
        <v>0</v>
      </c>
      <c r="U462">
        <v>0</v>
      </c>
      <c r="V462">
        <v>36</v>
      </c>
      <c r="W462" s="22">
        <f t="shared" si="21"/>
        <v>17604</v>
      </c>
      <c r="X462" t="str">
        <f t="shared" si="22"/>
        <v>E</v>
      </c>
      <c r="Y462" s="23">
        <f t="shared" si="23"/>
        <v>0.9967052942513065</v>
      </c>
      <c r="AA462" s="23"/>
    </row>
    <row r="463" spans="1:27">
      <c r="A463">
        <v>458</v>
      </c>
      <c r="B463">
        <v>0</v>
      </c>
      <c r="C463">
        <v>0</v>
      </c>
      <c r="D463">
        <v>0</v>
      </c>
      <c r="E463">
        <v>4</v>
      </c>
      <c r="F463">
        <v>0</v>
      </c>
      <c r="G463">
        <v>17599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36</v>
      </c>
      <c r="W463" s="22">
        <f t="shared" si="21"/>
        <v>17603</v>
      </c>
      <c r="X463" t="str">
        <f t="shared" si="22"/>
        <v>G</v>
      </c>
      <c r="Y463" s="23">
        <f t="shared" si="23"/>
        <v>0.99977276600579446</v>
      </c>
      <c r="AA463" s="23"/>
    </row>
    <row r="464" spans="1:27">
      <c r="A464">
        <v>459</v>
      </c>
      <c r="B464">
        <v>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17590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14</v>
      </c>
      <c r="T464">
        <v>0</v>
      </c>
      <c r="U464">
        <v>0</v>
      </c>
      <c r="V464">
        <v>34</v>
      </c>
      <c r="W464" s="22">
        <f t="shared" si="21"/>
        <v>17608</v>
      </c>
      <c r="X464" t="str">
        <f t="shared" si="22"/>
        <v>I</v>
      </c>
      <c r="Y464" s="23">
        <f t="shared" si="23"/>
        <v>0.9989777373920945</v>
      </c>
      <c r="AA464" s="23"/>
    </row>
    <row r="465" spans="1:27">
      <c r="A465">
        <v>460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</v>
      </c>
      <c r="K465">
        <v>0</v>
      </c>
      <c r="L465">
        <v>0</v>
      </c>
      <c r="M465">
        <v>0</v>
      </c>
      <c r="N465">
        <v>0</v>
      </c>
      <c r="O465">
        <v>17602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29</v>
      </c>
      <c r="W465" s="22">
        <f t="shared" si="21"/>
        <v>17607</v>
      </c>
      <c r="X465" t="str">
        <f t="shared" si="22"/>
        <v>Q</v>
      </c>
      <c r="Y465" s="23">
        <f t="shared" si="23"/>
        <v>0.99971602203668997</v>
      </c>
      <c r="AA465" s="23"/>
    </row>
    <row r="466" spans="1:27">
      <c r="A466">
        <v>461</v>
      </c>
      <c r="B466">
        <v>17602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</v>
      </c>
      <c r="R466">
        <v>3</v>
      </c>
      <c r="S466">
        <v>1</v>
      </c>
      <c r="T466">
        <v>0</v>
      </c>
      <c r="U466">
        <v>0</v>
      </c>
      <c r="V466">
        <v>29</v>
      </c>
      <c r="W466" s="22">
        <f t="shared" si="21"/>
        <v>17610</v>
      </c>
      <c r="X466" t="str">
        <f t="shared" si="22"/>
        <v>A</v>
      </c>
      <c r="Y466" s="23">
        <f t="shared" si="23"/>
        <v>0.99954571266325953</v>
      </c>
      <c r="AA466" s="23"/>
    </row>
    <row r="467" spans="1:27">
      <c r="A467">
        <v>462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17612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26</v>
      </c>
      <c r="W467" s="22">
        <f t="shared" si="21"/>
        <v>17612</v>
      </c>
      <c r="X467" t="str">
        <f t="shared" si="22"/>
        <v>G</v>
      </c>
      <c r="Y467" s="23">
        <f t="shared" si="23"/>
        <v>1</v>
      </c>
      <c r="AA467" s="23"/>
    </row>
    <row r="468" spans="1:27">
      <c r="A468">
        <v>463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17616</v>
      </c>
      <c r="T468">
        <v>0</v>
      </c>
      <c r="U468">
        <v>0</v>
      </c>
      <c r="V468">
        <v>24</v>
      </c>
      <c r="W468" s="22">
        <f t="shared" si="21"/>
        <v>17616</v>
      </c>
      <c r="X468" t="str">
        <f t="shared" si="22"/>
        <v>V</v>
      </c>
      <c r="Y468" s="23">
        <f t="shared" si="23"/>
        <v>1</v>
      </c>
      <c r="AA468" s="23"/>
    </row>
    <row r="469" spans="1:27">
      <c r="A469">
        <v>464</v>
      </c>
      <c r="B469">
        <v>0</v>
      </c>
      <c r="C469">
        <v>0</v>
      </c>
      <c r="D469">
        <v>17484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123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24</v>
      </c>
      <c r="W469" s="22">
        <f t="shared" si="21"/>
        <v>17607</v>
      </c>
      <c r="X469" t="str">
        <f t="shared" si="22"/>
        <v>D</v>
      </c>
      <c r="Y469" s="23">
        <f t="shared" si="23"/>
        <v>0.99301414210257288</v>
      </c>
      <c r="AA469" s="23"/>
    </row>
    <row r="470" spans="1:27">
      <c r="A470">
        <v>465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17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17598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21</v>
      </c>
      <c r="W470" s="22">
        <f t="shared" si="21"/>
        <v>17615</v>
      </c>
      <c r="X470" t="str">
        <f t="shared" si="22"/>
        <v>R</v>
      </c>
      <c r="Y470" s="23">
        <f t="shared" si="23"/>
        <v>0.99903491342605732</v>
      </c>
      <c r="AA470" s="23"/>
    </row>
    <row r="471" spans="1:27">
      <c r="A471">
        <v>466</v>
      </c>
      <c r="B471">
        <v>0</v>
      </c>
      <c r="C471">
        <v>0</v>
      </c>
      <c r="D471">
        <v>0</v>
      </c>
      <c r="E471">
        <v>0</v>
      </c>
      <c r="F471">
        <v>17616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5</v>
      </c>
      <c r="V471">
        <v>20</v>
      </c>
      <c r="W471" s="22">
        <f t="shared" si="21"/>
        <v>17621</v>
      </c>
      <c r="X471" t="str">
        <f t="shared" si="22"/>
        <v>F</v>
      </c>
      <c r="Y471" s="23">
        <f t="shared" si="23"/>
        <v>0.99971624765904321</v>
      </c>
      <c r="AA471" s="23"/>
    </row>
    <row r="472" spans="1:27">
      <c r="A472">
        <v>467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17621</v>
      </c>
      <c r="V472">
        <v>20</v>
      </c>
      <c r="W472" s="22">
        <f t="shared" si="21"/>
        <v>17621</v>
      </c>
      <c r="X472" t="str">
        <f t="shared" si="22"/>
        <v>Y</v>
      </c>
      <c r="Y472" s="23">
        <f t="shared" si="23"/>
        <v>1</v>
      </c>
      <c r="AA472" s="23"/>
    </row>
    <row r="473" spans="1:27">
      <c r="A473">
        <v>468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17615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20</v>
      </c>
      <c r="W473" s="22">
        <f t="shared" si="21"/>
        <v>17615</v>
      </c>
      <c r="X473" t="str">
        <f t="shared" si="22"/>
        <v>R</v>
      </c>
      <c r="Y473" s="23">
        <f t="shared" si="23"/>
        <v>1</v>
      </c>
      <c r="AA473" s="23"/>
    </row>
    <row r="474" spans="1:27">
      <c r="A474">
        <v>469</v>
      </c>
      <c r="B474">
        <v>21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44</v>
      </c>
      <c r="R474">
        <v>17544</v>
      </c>
      <c r="S474">
        <v>0</v>
      </c>
      <c r="T474">
        <v>0</v>
      </c>
      <c r="U474">
        <v>0</v>
      </c>
      <c r="V474">
        <v>18</v>
      </c>
      <c r="W474" s="22">
        <f t="shared" si="21"/>
        <v>17622</v>
      </c>
      <c r="X474" t="str">
        <f t="shared" si="22"/>
        <v>T</v>
      </c>
      <c r="Y474" s="23">
        <f t="shared" si="23"/>
        <v>0.99557371467483824</v>
      </c>
      <c r="AA474" s="23"/>
    </row>
    <row r="475" spans="1:27">
      <c r="A475">
        <v>470</v>
      </c>
      <c r="B475">
        <v>0</v>
      </c>
      <c r="C475">
        <v>17619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</v>
      </c>
      <c r="R475">
        <v>0</v>
      </c>
      <c r="S475">
        <v>0</v>
      </c>
      <c r="T475">
        <v>0</v>
      </c>
      <c r="U475">
        <v>0</v>
      </c>
      <c r="V475">
        <v>18</v>
      </c>
      <c r="W475" s="22">
        <f t="shared" si="21"/>
        <v>17621</v>
      </c>
      <c r="X475" t="str">
        <f t="shared" si="22"/>
        <v>C</v>
      </c>
      <c r="Y475" s="23">
        <f t="shared" si="23"/>
        <v>0.99988649906361726</v>
      </c>
      <c r="AA475" s="23"/>
    </row>
    <row r="476" spans="1:27">
      <c r="A476">
        <v>471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17618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18</v>
      </c>
      <c r="W476" s="22">
        <f t="shared" si="21"/>
        <v>17618</v>
      </c>
      <c r="X476" t="str">
        <f t="shared" si="22"/>
        <v>K</v>
      </c>
      <c r="Y476" s="23">
        <f t="shared" si="23"/>
        <v>1</v>
      </c>
      <c r="AA476" s="23"/>
    </row>
    <row r="477" spans="1:27">
      <c r="A477">
        <v>472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17620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18</v>
      </c>
      <c r="W477" s="22">
        <f t="shared" si="21"/>
        <v>17620</v>
      </c>
      <c r="X477" t="str">
        <f t="shared" si="22"/>
        <v>L</v>
      </c>
      <c r="Y477" s="23">
        <f t="shared" si="23"/>
        <v>1</v>
      </c>
      <c r="AA477" s="23"/>
    </row>
    <row r="478" spans="1:27">
      <c r="A478">
        <v>473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18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17601</v>
      </c>
      <c r="T478">
        <v>0</v>
      </c>
      <c r="U478">
        <v>0</v>
      </c>
      <c r="V478">
        <v>18</v>
      </c>
      <c r="W478" s="22">
        <f t="shared" si="21"/>
        <v>17620</v>
      </c>
      <c r="X478" t="str">
        <f t="shared" si="22"/>
        <v>V</v>
      </c>
      <c r="Y478" s="23">
        <f t="shared" si="23"/>
        <v>0.99892167990919412</v>
      </c>
      <c r="AA478" s="23"/>
    </row>
    <row r="479" spans="1:27">
      <c r="A479">
        <v>474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17621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18</v>
      </c>
      <c r="W479" s="22">
        <f t="shared" si="21"/>
        <v>17621</v>
      </c>
      <c r="X479" t="str">
        <f t="shared" si="22"/>
        <v>G</v>
      </c>
      <c r="Y479" s="23">
        <f t="shared" si="23"/>
        <v>1</v>
      </c>
      <c r="AA479" s="23"/>
    </row>
    <row r="480" spans="1:27">
      <c r="A480">
        <v>475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17622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</v>
      </c>
      <c r="T480">
        <v>0</v>
      </c>
      <c r="U480">
        <v>0</v>
      </c>
      <c r="V480">
        <v>18</v>
      </c>
      <c r="W480" s="22">
        <f t="shared" si="21"/>
        <v>17624</v>
      </c>
      <c r="X480" t="str">
        <f t="shared" si="22"/>
        <v>I</v>
      </c>
      <c r="Y480" s="23">
        <f t="shared" si="23"/>
        <v>0.99988651838402176</v>
      </c>
      <c r="AA480" s="23"/>
    </row>
    <row r="481" spans="1:33">
      <c r="A481">
        <v>476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17624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17</v>
      </c>
      <c r="W481" s="22">
        <f t="shared" si="21"/>
        <v>17624</v>
      </c>
      <c r="X481" t="str">
        <f t="shared" si="22"/>
        <v>N</v>
      </c>
      <c r="Y481" s="23">
        <f t="shared" si="23"/>
        <v>1</v>
      </c>
      <c r="AA481" s="23"/>
    </row>
    <row r="482" spans="1:33">
      <c r="A482">
        <v>477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17623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17</v>
      </c>
      <c r="W482" s="22">
        <f t="shared" si="21"/>
        <v>17623</v>
      </c>
      <c r="X482" t="str">
        <f t="shared" si="22"/>
        <v>M</v>
      </c>
      <c r="Y482" s="23">
        <f t="shared" si="23"/>
        <v>1</v>
      </c>
      <c r="AA482" s="23"/>
    </row>
    <row r="483" spans="1:33">
      <c r="A483">
        <v>478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17622</v>
      </c>
      <c r="R483">
        <v>0</v>
      </c>
      <c r="S483">
        <v>0</v>
      </c>
      <c r="T483">
        <v>0</v>
      </c>
      <c r="U483">
        <v>0</v>
      </c>
      <c r="V483">
        <v>16</v>
      </c>
      <c r="W483" s="22">
        <f t="shared" si="21"/>
        <v>17622</v>
      </c>
      <c r="X483" t="str">
        <f t="shared" si="22"/>
        <v>S</v>
      </c>
      <c r="Y483" s="23">
        <f t="shared" si="23"/>
        <v>1</v>
      </c>
      <c r="AA483" s="23"/>
    </row>
    <row r="484" spans="1:33">
      <c r="A484">
        <v>479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17626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16</v>
      </c>
      <c r="W484" s="22">
        <f t="shared" si="21"/>
        <v>17626</v>
      </c>
      <c r="X484" t="str">
        <f t="shared" si="22"/>
        <v>K</v>
      </c>
      <c r="Y484" s="23">
        <f t="shared" si="23"/>
        <v>1</v>
      </c>
      <c r="AA484" s="23"/>
    </row>
    <row r="485" spans="1:33">
      <c r="A485">
        <v>480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17459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162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16</v>
      </c>
      <c r="W485" s="22">
        <f t="shared" si="21"/>
        <v>17621</v>
      </c>
      <c r="X485" t="str">
        <f t="shared" si="22"/>
        <v>K</v>
      </c>
      <c r="Y485" s="23">
        <f t="shared" si="23"/>
        <v>0.99080642415299924</v>
      </c>
      <c r="AA485" s="23"/>
    </row>
    <row r="486" spans="1:33">
      <c r="A486">
        <v>481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17623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16</v>
      </c>
      <c r="W486" s="22">
        <f t="shared" si="21"/>
        <v>17623</v>
      </c>
      <c r="X486" t="str">
        <f t="shared" si="22"/>
        <v>K</v>
      </c>
      <c r="Y486" s="23">
        <f t="shared" si="23"/>
        <v>1</v>
      </c>
      <c r="AA486" s="23"/>
    </row>
    <row r="487" spans="1:33">
      <c r="A487">
        <v>482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17624</v>
      </c>
      <c r="R487">
        <v>0</v>
      </c>
      <c r="S487">
        <v>0</v>
      </c>
      <c r="T487">
        <v>0</v>
      </c>
      <c r="U487">
        <v>0</v>
      </c>
      <c r="V487">
        <v>16</v>
      </c>
      <c r="W487" s="22">
        <f t="shared" si="21"/>
        <v>17624</v>
      </c>
      <c r="X487" t="str">
        <f t="shared" si="22"/>
        <v>S</v>
      </c>
      <c r="Y487" s="23">
        <f t="shared" si="23"/>
        <v>1</v>
      </c>
      <c r="AA487" s="23"/>
    </row>
    <row r="488" spans="1:33">
      <c r="A488">
        <v>483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17626</v>
      </c>
      <c r="V488">
        <v>15</v>
      </c>
      <c r="W488" s="22">
        <f t="shared" si="21"/>
        <v>17626</v>
      </c>
      <c r="X488" t="str">
        <f t="shared" si="22"/>
        <v>Y</v>
      </c>
      <c r="Y488" s="23">
        <f t="shared" si="23"/>
        <v>1</v>
      </c>
      <c r="AA488" s="23"/>
    </row>
    <row r="489" spans="1:33">
      <c r="A489">
        <v>484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17619</v>
      </c>
      <c r="J489">
        <v>0</v>
      </c>
      <c r="K489">
        <v>2</v>
      </c>
      <c r="L489">
        <v>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15</v>
      </c>
      <c r="W489" s="22">
        <f t="shared" si="21"/>
        <v>17625</v>
      </c>
      <c r="X489" t="str">
        <f t="shared" si="22"/>
        <v>I</v>
      </c>
      <c r="Y489" s="23">
        <f t="shared" si="23"/>
        <v>0.99965957446808507</v>
      </c>
      <c r="AA489" s="23"/>
    </row>
    <row r="490" spans="1:33">
      <c r="A490">
        <v>485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17626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15</v>
      </c>
      <c r="W490" s="22">
        <f t="shared" si="21"/>
        <v>17626</v>
      </c>
      <c r="X490" t="str">
        <f t="shared" si="22"/>
        <v>N</v>
      </c>
      <c r="Y490" s="23">
        <f t="shared" si="23"/>
        <v>1</v>
      </c>
      <c r="AA490" s="23"/>
    </row>
    <row r="491" spans="1:33">
      <c r="A491" s="24">
        <v>486</v>
      </c>
      <c r="B491" s="24">
        <v>0</v>
      </c>
      <c r="C491" s="24">
        <v>0</v>
      </c>
      <c r="D491" s="24">
        <v>0</v>
      </c>
      <c r="E491" s="24">
        <v>0</v>
      </c>
      <c r="F491" s="24">
        <v>0</v>
      </c>
      <c r="G491" s="24">
        <v>0</v>
      </c>
      <c r="H491" s="24">
        <v>0</v>
      </c>
      <c r="I491" s="24">
        <v>0</v>
      </c>
      <c r="J491" s="24">
        <v>17599</v>
      </c>
      <c r="K491" s="24">
        <v>0</v>
      </c>
      <c r="L491" s="24">
        <v>0</v>
      </c>
      <c r="M491" s="24">
        <v>0</v>
      </c>
      <c r="N491" s="24">
        <v>0</v>
      </c>
      <c r="O491" s="24">
        <v>0</v>
      </c>
      <c r="P491" s="24">
        <v>22</v>
      </c>
      <c r="Q491" s="24">
        <v>0</v>
      </c>
      <c r="R491" s="24">
        <v>0</v>
      </c>
      <c r="S491" s="24">
        <v>0</v>
      </c>
      <c r="T491" s="24">
        <v>0</v>
      </c>
      <c r="U491" s="24">
        <v>0</v>
      </c>
      <c r="V491" s="24">
        <v>15</v>
      </c>
      <c r="W491" s="24">
        <f t="shared" si="21"/>
        <v>17621</v>
      </c>
      <c r="X491" s="24" t="str">
        <f t="shared" si="22"/>
        <v>K</v>
      </c>
      <c r="Y491" s="25">
        <f t="shared" si="23"/>
        <v>0.99875148969979</v>
      </c>
      <c r="Z491" s="24"/>
      <c r="AA491" s="25">
        <f>P491/W491</f>
        <v>1.2485103002099767E-3</v>
      </c>
      <c r="AB491" s="24"/>
      <c r="AC491" s="24"/>
      <c r="AD491" s="24"/>
      <c r="AE491" s="24"/>
      <c r="AF491" s="24"/>
      <c r="AG491" s="24"/>
    </row>
    <row r="492" spans="1:33">
      <c r="A492">
        <v>487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17624</v>
      </c>
      <c r="S492">
        <v>0</v>
      </c>
      <c r="T492">
        <v>0</v>
      </c>
      <c r="U492">
        <v>0</v>
      </c>
      <c r="V492">
        <v>15</v>
      </c>
      <c r="W492" s="22">
        <f t="shared" si="21"/>
        <v>17624</v>
      </c>
      <c r="X492" t="str">
        <f t="shared" si="22"/>
        <v>T</v>
      </c>
      <c r="Y492" s="23">
        <f t="shared" si="23"/>
        <v>1</v>
      </c>
      <c r="AA492" s="23"/>
    </row>
    <row r="493" spans="1:33">
      <c r="A493">
        <v>488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17619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15</v>
      </c>
      <c r="W493" s="22">
        <f t="shared" si="21"/>
        <v>17619</v>
      </c>
      <c r="X493" t="str">
        <f t="shared" si="22"/>
        <v>G</v>
      </c>
      <c r="Y493" s="23">
        <f t="shared" si="23"/>
        <v>1</v>
      </c>
      <c r="AA493" s="23"/>
    </row>
    <row r="494" spans="1:33">
      <c r="A494">
        <v>489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17625</v>
      </c>
      <c r="S494">
        <v>0</v>
      </c>
      <c r="T494">
        <v>0</v>
      </c>
      <c r="U494">
        <v>0</v>
      </c>
      <c r="V494">
        <v>15</v>
      </c>
      <c r="W494" s="22">
        <f t="shared" si="21"/>
        <v>17625</v>
      </c>
      <c r="X494" t="str">
        <f t="shared" si="22"/>
        <v>T</v>
      </c>
      <c r="Y494" s="23">
        <f t="shared" si="23"/>
        <v>1</v>
      </c>
      <c r="AA494" s="23"/>
    </row>
    <row r="495" spans="1:33">
      <c r="A495">
        <v>490</v>
      </c>
      <c r="B495">
        <v>0</v>
      </c>
      <c r="C495">
        <v>0</v>
      </c>
      <c r="D495">
        <v>0</v>
      </c>
      <c r="E495">
        <v>0</v>
      </c>
      <c r="F495">
        <v>17627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15</v>
      </c>
      <c r="W495" s="22">
        <f t="shared" si="21"/>
        <v>17627</v>
      </c>
      <c r="X495" t="str">
        <f t="shared" si="22"/>
        <v>F</v>
      </c>
      <c r="Y495" s="23">
        <f t="shared" si="23"/>
        <v>1</v>
      </c>
      <c r="AA495" s="23"/>
    </row>
    <row r="496" spans="1:33">
      <c r="A496">
        <v>491</v>
      </c>
      <c r="B496">
        <v>0</v>
      </c>
      <c r="C496">
        <v>0</v>
      </c>
      <c r="D496">
        <v>0</v>
      </c>
      <c r="E496">
        <v>17627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15</v>
      </c>
      <c r="W496" s="22">
        <f t="shared" si="21"/>
        <v>17627</v>
      </c>
      <c r="X496" t="str">
        <f t="shared" si="22"/>
        <v>E</v>
      </c>
      <c r="Y496" s="23">
        <f t="shared" si="23"/>
        <v>1</v>
      </c>
      <c r="AA496" s="23"/>
    </row>
    <row r="497" spans="1:27">
      <c r="A497">
        <v>492</v>
      </c>
      <c r="B497">
        <v>0</v>
      </c>
      <c r="C497">
        <v>0</v>
      </c>
      <c r="D497">
        <v>0</v>
      </c>
      <c r="E497">
        <v>0</v>
      </c>
      <c r="F497">
        <v>17626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15</v>
      </c>
      <c r="W497" s="22">
        <f t="shared" si="21"/>
        <v>17627</v>
      </c>
      <c r="X497" t="str">
        <f t="shared" si="22"/>
        <v>F</v>
      </c>
      <c r="Y497" s="23">
        <f t="shared" si="23"/>
        <v>0.99994326884892493</v>
      </c>
      <c r="AA497" s="23"/>
    </row>
    <row r="498" spans="1:27">
      <c r="A498">
        <v>493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17624</v>
      </c>
      <c r="S498">
        <v>0</v>
      </c>
      <c r="T498">
        <v>0</v>
      </c>
      <c r="U498">
        <v>0</v>
      </c>
      <c r="V498">
        <v>15</v>
      </c>
      <c r="W498" s="22">
        <f t="shared" si="21"/>
        <v>17625</v>
      </c>
      <c r="X498" t="str">
        <f t="shared" si="22"/>
        <v>T</v>
      </c>
      <c r="Y498" s="23">
        <f t="shared" si="23"/>
        <v>0.99994326241134757</v>
      </c>
      <c r="AA498" s="23"/>
    </row>
    <row r="499" spans="1:27">
      <c r="A499">
        <v>494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17627</v>
      </c>
      <c r="R499">
        <v>0</v>
      </c>
      <c r="S499">
        <v>0</v>
      </c>
      <c r="T499">
        <v>0</v>
      </c>
      <c r="U499">
        <v>0</v>
      </c>
      <c r="V499">
        <v>15</v>
      </c>
      <c r="W499" s="22">
        <f t="shared" si="21"/>
        <v>17627</v>
      </c>
      <c r="X499" t="str">
        <f t="shared" si="22"/>
        <v>S</v>
      </c>
      <c r="Y499" s="23">
        <f t="shared" si="23"/>
        <v>1</v>
      </c>
      <c r="AA499" s="23"/>
    </row>
    <row r="500" spans="1:27">
      <c r="A500">
        <v>495</v>
      </c>
      <c r="B500">
        <v>0</v>
      </c>
      <c r="C500">
        <v>0</v>
      </c>
      <c r="D500">
        <v>0</v>
      </c>
      <c r="E500">
        <v>0</v>
      </c>
      <c r="F500">
        <v>17625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15</v>
      </c>
      <c r="W500" s="22">
        <f t="shared" si="21"/>
        <v>17626</v>
      </c>
      <c r="X500" t="str">
        <f t="shared" si="22"/>
        <v>F</v>
      </c>
      <c r="Y500" s="23">
        <f t="shared" si="23"/>
        <v>0.99994326563031888</v>
      </c>
      <c r="AA500" s="23"/>
    </row>
    <row r="501" spans="1:27">
      <c r="A501">
        <v>496</v>
      </c>
      <c r="B501">
        <v>0</v>
      </c>
      <c r="C501">
        <v>0</v>
      </c>
      <c r="D501">
        <v>0</v>
      </c>
      <c r="E501">
        <v>0</v>
      </c>
      <c r="F501">
        <v>17626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15</v>
      </c>
      <c r="W501" s="22">
        <f t="shared" si="21"/>
        <v>17626</v>
      </c>
      <c r="X501" t="str">
        <f t="shared" si="22"/>
        <v>F</v>
      </c>
      <c r="Y501" s="23">
        <f t="shared" si="23"/>
        <v>1</v>
      </c>
      <c r="AA501" s="23"/>
    </row>
    <row r="502" spans="1:27">
      <c r="A502">
        <v>497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17624</v>
      </c>
      <c r="V502">
        <v>15</v>
      </c>
      <c r="W502" s="22">
        <f t="shared" si="21"/>
        <v>17624</v>
      </c>
      <c r="X502" t="str">
        <f t="shared" si="22"/>
        <v>Y</v>
      </c>
      <c r="Y502" s="23">
        <f t="shared" si="23"/>
        <v>1</v>
      </c>
      <c r="AA502" s="23"/>
    </row>
    <row r="503" spans="1:27">
      <c r="A503">
        <v>498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17625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15</v>
      </c>
      <c r="W503" s="22">
        <f t="shared" si="21"/>
        <v>17625</v>
      </c>
      <c r="X503" t="str">
        <f t="shared" si="22"/>
        <v>R</v>
      </c>
      <c r="Y503" s="23">
        <f t="shared" si="23"/>
        <v>1</v>
      </c>
      <c r="AA503" s="23"/>
    </row>
    <row r="504" spans="1:27">
      <c r="A504">
        <v>499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17624</v>
      </c>
      <c r="V504">
        <v>15</v>
      </c>
      <c r="W504" s="22">
        <f t="shared" si="21"/>
        <v>17625</v>
      </c>
      <c r="X504" t="str">
        <f t="shared" si="22"/>
        <v>Y</v>
      </c>
      <c r="Y504" s="23">
        <f t="shared" si="23"/>
        <v>0.99994326241134757</v>
      </c>
      <c r="AA504" s="23"/>
    </row>
    <row r="505" spans="1:27">
      <c r="A505">
        <v>500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17626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15</v>
      </c>
      <c r="W505" s="22">
        <f t="shared" si="21"/>
        <v>17626</v>
      </c>
      <c r="X505" t="str">
        <f t="shared" si="22"/>
        <v>G</v>
      </c>
      <c r="Y505" s="23">
        <f t="shared" si="23"/>
        <v>1</v>
      </c>
      <c r="AA505" s="23"/>
    </row>
    <row r="506" spans="1:27">
      <c r="A506">
        <v>501</v>
      </c>
      <c r="B506">
        <v>0</v>
      </c>
      <c r="C506">
        <v>0</v>
      </c>
      <c r="D506">
        <v>0</v>
      </c>
      <c r="E506">
        <v>0</v>
      </c>
      <c r="F506">
        <v>17624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15</v>
      </c>
      <c r="W506" s="22">
        <f t="shared" si="21"/>
        <v>17624</v>
      </c>
      <c r="X506" t="str">
        <f t="shared" si="22"/>
        <v>F</v>
      </c>
      <c r="Y506" s="23">
        <f t="shared" si="23"/>
        <v>1</v>
      </c>
      <c r="AA506" s="23"/>
    </row>
    <row r="507" spans="1:27">
      <c r="A507">
        <v>502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17622</v>
      </c>
      <c r="T507">
        <v>0</v>
      </c>
      <c r="U507">
        <v>0</v>
      </c>
      <c r="V507">
        <v>15</v>
      </c>
      <c r="W507" s="22">
        <f t="shared" si="21"/>
        <v>17625</v>
      </c>
      <c r="X507" t="str">
        <f t="shared" si="22"/>
        <v>V</v>
      </c>
      <c r="Y507" s="23">
        <f t="shared" si="23"/>
        <v>0.99982978723404259</v>
      </c>
      <c r="AA507" s="23"/>
    </row>
    <row r="508" spans="1:27">
      <c r="A508">
        <v>503</v>
      </c>
      <c r="B508">
        <v>17626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15</v>
      </c>
      <c r="W508" s="22">
        <f t="shared" si="21"/>
        <v>17626</v>
      </c>
      <c r="X508" t="str">
        <f t="shared" si="22"/>
        <v>A</v>
      </c>
      <c r="Y508" s="23">
        <f t="shared" si="23"/>
        <v>1</v>
      </c>
      <c r="AA508" s="23"/>
    </row>
    <row r="509" spans="1:27">
      <c r="A509">
        <v>504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17621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15</v>
      </c>
      <c r="W509" s="22">
        <f t="shared" si="21"/>
        <v>17622</v>
      </c>
      <c r="X509" t="str">
        <f t="shared" si="22"/>
        <v>N</v>
      </c>
      <c r="Y509" s="23">
        <f t="shared" si="23"/>
        <v>0.9999432527522415</v>
      </c>
      <c r="AA509" s="23"/>
    </row>
    <row r="510" spans="1:27">
      <c r="A510">
        <v>505</v>
      </c>
      <c r="B510">
        <v>0</v>
      </c>
      <c r="C510">
        <v>0</v>
      </c>
      <c r="D510">
        <v>0</v>
      </c>
      <c r="E510">
        <v>0</v>
      </c>
      <c r="F510">
        <v>17625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15</v>
      </c>
      <c r="W510" s="22">
        <f t="shared" si="21"/>
        <v>17625</v>
      </c>
      <c r="X510" t="str">
        <f t="shared" si="22"/>
        <v>F</v>
      </c>
      <c r="Y510" s="23">
        <f t="shared" si="23"/>
        <v>1</v>
      </c>
      <c r="AA510" s="23"/>
    </row>
    <row r="511" spans="1:27">
      <c r="A511">
        <v>506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17623</v>
      </c>
      <c r="R511">
        <v>0</v>
      </c>
      <c r="S511">
        <v>0</v>
      </c>
      <c r="T511">
        <v>0</v>
      </c>
      <c r="U511">
        <v>0</v>
      </c>
      <c r="V511">
        <v>15</v>
      </c>
      <c r="W511" s="22">
        <f t="shared" si="21"/>
        <v>17626</v>
      </c>
      <c r="X511" t="str">
        <f t="shared" si="22"/>
        <v>S</v>
      </c>
      <c r="Y511" s="23">
        <f t="shared" si="23"/>
        <v>0.99982979689095652</v>
      </c>
      <c r="AA511" s="23"/>
    </row>
    <row r="512" spans="1:27">
      <c r="A512">
        <v>507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17623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</v>
      </c>
      <c r="S512">
        <v>0</v>
      </c>
      <c r="T512">
        <v>0</v>
      </c>
      <c r="U512">
        <v>0</v>
      </c>
      <c r="V512">
        <v>15</v>
      </c>
      <c r="W512" s="22">
        <f t="shared" si="21"/>
        <v>17626</v>
      </c>
      <c r="X512" t="str">
        <f t="shared" si="22"/>
        <v>M</v>
      </c>
      <c r="Y512" s="23">
        <f t="shared" si="23"/>
        <v>0.99982979689095652</v>
      </c>
      <c r="AA512" s="23"/>
    </row>
    <row r="513" spans="1:33">
      <c r="A513">
        <v>508</v>
      </c>
      <c r="B513">
        <v>0</v>
      </c>
      <c r="C513">
        <v>0</v>
      </c>
      <c r="D513">
        <v>0</v>
      </c>
      <c r="E513">
        <v>17625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15</v>
      </c>
      <c r="W513" s="22">
        <f t="shared" si="21"/>
        <v>17625</v>
      </c>
      <c r="X513" t="str">
        <f t="shared" si="22"/>
        <v>E</v>
      </c>
      <c r="Y513" s="23">
        <f t="shared" si="23"/>
        <v>1</v>
      </c>
      <c r="AA513" s="23"/>
    </row>
    <row r="514" spans="1:33">
      <c r="A514">
        <v>509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</v>
      </c>
      <c r="J514">
        <v>0</v>
      </c>
      <c r="K514">
        <v>17619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15</v>
      </c>
      <c r="W514" s="22">
        <f t="shared" si="21"/>
        <v>17621</v>
      </c>
      <c r="X514" t="str">
        <f t="shared" si="22"/>
        <v>L</v>
      </c>
      <c r="Y514" s="23">
        <f t="shared" si="23"/>
        <v>0.99988649906361726</v>
      </c>
      <c r="AA514" s="23"/>
    </row>
    <row r="515" spans="1:33">
      <c r="A515">
        <v>510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17621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15</v>
      </c>
      <c r="W515" s="22">
        <f t="shared" si="21"/>
        <v>17622</v>
      </c>
      <c r="X515" t="str">
        <f t="shared" si="22"/>
        <v>P</v>
      </c>
      <c r="Y515" s="23">
        <f t="shared" si="23"/>
        <v>0.9999432527522415</v>
      </c>
      <c r="AA515" s="23"/>
    </row>
    <row r="516" spans="1:33">
      <c r="A516">
        <v>511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4</v>
      </c>
      <c r="N516">
        <v>0</v>
      </c>
      <c r="O516">
        <v>0</v>
      </c>
      <c r="P516">
        <v>0</v>
      </c>
      <c r="Q516">
        <v>17619</v>
      </c>
      <c r="R516">
        <v>0</v>
      </c>
      <c r="S516">
        <v>0</v>
      </c>
      <c r="T516">
        <v>0</v>
      </c>
      <c r="U516">
        <v>0</v>
      </c>
      <c r="V516">
        <v>15</v>
      </c>
      <c r="W516" s="22">
        <f t="shared" si="21"/>
        <v>17626</v>
      </c>
      <c r="X516" t="str">
        <f t="shared" si="22"/>
        <v>S</v>
      </c>
      <c r="Y516" s="23">
        <f t="shared" si="23"/>
        <v>0.99960285941223193</v>
      </c>
      <c r="AA516" s="23"/>
    </row>
    <row r="517" spans="1:33">
      <c r="A517">
        <v>512</v>
      </c>
      <c r="B517">
        <v>0</v>
      </c>
      <c r="C517">
        <v>0</v>
      </c>
      <c r="D517">
        <v>0</v>
      </c>
      <c r="E517">
        <v>0</v>
      </c>
      <c r="F517">
        <v>17623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15</v>
      </c>
      <c r="W517" s="22">
        <f t="shared" si="21"/>
        <v>17624</v>
      </c>
      <c r="X517" t="str">
        <f t="shared" si="22"/>
        <v>F</v>
      </c>
      <c r="Y517" s="23">
        <f t="shared" si="23"/>
        <v>0.99994325919201088</v>
      </c>
      <c r="AA517" s="23"/>
    </row>
    <row r="518" spans="1:33">
      <c r="A518">
        <v>513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17626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15</v>
      </c>
      <c r="W518" s="22">
        <f t="shared" ref="W518:W581" si="24">SUM(B518:U518)</f>
        <v>17626</v>
      </c>
      <c r="X518" t="str">
        <f t="shared" ref="X518:X581" si="25">INDEX(($B$4:$U$4),MATCH(LARGE(B518:U518,1),B518:U518,0))</f>
        <v>G</v>
      </c>
      <c r="Y518" s="23">
        <f t="shared" ref="Y518:Y581" si="26">(MAX(B518:U518))/W518</f>
        <v>1</v>
      </c>
      <c r="AA518" s="23"/>
    </row>
    <row r="519" spans="1:33">
      <c r="A519">
        <v>514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17621</v>
      </c>
      <c r="T519">
        <v>0</v>
      </c>
      <c r="U519">
        <v>0</v>
      </c>
      <c r="V519">
        <v>15</v>
      </c>
      <c r="W519" s="22">
        <f t="shared" si="24"/>
        <v>17625</v>
      </c>
      <c r="X519" t="str">
        <f t="shared" si="25"/>
        <v>V</v>
      </c>
      <c r="Y519" s="23">
        <f t="shared" si="26"/>
        <v>0.99977304964539004</v>
      </c>
      <c r="AA519" s="23"/>
    </row>
    <row r="520" spans="1:33">
      <c r="A520">
        <v>515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3</v>
      </c>
      <c r="O520">
        <v>0</v>
      </c>
      <c r="P520">
        <v>0</v>
      </c>
      <c r="Q520">
        <v>17622</v>
      </c>
      <c r="R520">
        <v>1</v>
      </c>
      <c r="S520">
        <v>0</v>
      </c>
      <c r="T520">
        <v>0</v>
      </c>
      <c r="U520">
        <v>0</v>
      </c>
      <c r="V520">
        <v>15</v>
      </c>
      <c r="W520" s="22">
        <f t="shared" si="24"/>
        <v>17626</v>
      </c>
      <c r="X520" t="str">
        <f t="shared" si="25"/>
        <v>S</v>
      </c>
      <c r="Y520" s="23">
        <f t="shared" si="26"/>
        <v>0.9997730625212754</v>
      </c>
      <c r="AA520" s="23"/>
    </row>
    <row r="521" spans="1:33">
      <c r="A521">
        <v>516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17624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15</v>
      </c>
      <c r="W521" s="22">
        <f t="shared" si="24"/>
        <v>17625</v>
      </c>
      <c r="X521" t="str">
        <f t="shared" si="25"/>
        <v>G</v>
      </c>
      <c r="Y521" s="23">
        <f t="shared" si="26"/>
        <v>0.99994326241134757</v>
      </c>
      <c r="AA521" s="23"/>
    </row>
    <row r="522" spans="1:33">
      <c r="A522" s="24">
        <v>517</v>
      </c>
      <c r="B522" s="24">
        <v>2</v>
      </c>
      <c r="C522" s="24">
        <v>0</v>
      </c>
      <c r="D522" s="24">
        <v>0</v>
      </c>
      <c r="E522" s="24">
        <v>0</v>
      </c>
      <c r="F522" s="24">
        <v>0</v>
      </c>
      <c r="G522" s="24">
        <v>2</v>
      </c>
      <c r="H522" s="24">
        <v>0</v>
      </c>
      <c r="I522" s="24">
        <v>51</v>
      </c>
      <c r="J522" s="24">
        <v>0</v>
      </c>
      <c r="K522" s="24">
        <v>0</v>
      </c>
      <c r="L522" s="24">
        <v>0</v>
      </c>
      <c r="M522" s="24">
        <v>0</v>
      </c>
      <c r="N522" s="24">
        <v>0</v>
      </c>
      <c r="O522" s="24">
        <v>0</v>
      </c>
      <c r="P522" s="24">
        <v>0</v>
      </c>
      <c r="Q522" s="24">
        <v>0</v>
      </c>
      <c r="R522" s="24">
        <v>0</v>
      </c>
      <c r="S522" s="24">
        <v>17568</v>
      </c>
      <c r="T522" s="24">
        <v>0</v>
      </c>
      <c r="U522" s="24">
        <v>0</v>
      </c>
      <c r="V522" s="24">
        <v>15</v>
      </c>
      <c r="W522" s="24">
        <f t="shared" si="24"/>
        <v>17623</v>
      </c>
      <c r="X522" s="24" t="str">
        <f t="shared" si="25"/>
        <v>V</v>
      </c>
      <c r="Y522" s="25">
        <f t="shared" si="26"/>
        <v>0.99687907847699031</v>
      </c>
      <c r="Z522" s="24"/>
      <c r="AA522" s="25">
        <f>I522/W522</f>
        <v>2.8939454122453613E-3</v>
      </c>
      <c r="AB522" s="24"/>
      <c r="AC522" s="24"/>
      <c r="AD522" s="24"/>
      <c r="AE522" s="24"/>
      <c r="AF522" s="24"/>
      <c r="AG522" s="24"/>
    </row>
    <row r="523" spans="1:33">
      <c r="A523">
        <v>518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17626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16</v>
      </c>
      <c r="W523" s="22">
        <f t="shared" si="24"/>
        <v>17626</v>
      </c>
      <c r="X523" t="str">
        <f t="shared" si="25"/>
        <v>N</v>
      </c>
      <c r="Y523" s="23">
        <f t="shared" si="26"/>
        <v>1</v>
      </c>
      <c r="AA523" s="23"/>
    </row>
    <row r="524" spans="1:33">
      <c r="A524">
        <v>519</v>
      </c>
      <c r="B524">
        <v>0</v>
      </c>
      <c r="C524">
        <v>0</v>
      </c>
      <c r="D524">
        <v>0</v>
      </c>
      <c r="E524">
        <v>17626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16</v>
      </c>
      <c r="W524" s="22">
        <f t="shared" si="24"/>
        <v>17626</v>
      </c>
      <c r="X524" t="str">
        <f t="shared" si="25"/>
        <v>E</v>
      </c>
      <c r="Y524" s="23">
        <f t="shared" si="26"/>
        <v>1</v>
      </c>
      <c r="AA524" s="23"/>
    </row>
    <row r="525" spans="1:33">
      <c r="A525">
        <v>520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17626</v>
      </c>
      <c r="R525">
        <v>0</v>
      </c>
      <c r="S525">
        <v>0</v>
      </c>
      <c r="T525">
        <v>0</v>
      </c>
      <c r="U525">
        <v>0</v>
      </c>
      <c r="V525">
        <v>16</v>
      </c>
      <c r="W525" s="22">
        <f t="shared" si="24"/>
        <v>17626</v>
      </c>
      <c r="X525" t="str">
        <f t="shared" si="25"/>
        <v>S</v>
      </c>
      <c r="Y525" s="23">
        <f t="shared" si="26"/>
        <v>1</v>
      </c>
      <c r="AA525" s="23"/>
    </row>
    <row r="526" spans="1:33">
      <c r="A526">
        <v>521</v>
      </c>
      <c r="B526">
        <v>17620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2</v>
      </c>
      <c r="S526">
        <v>0</v>
      </c>
      <c r="T526">
        <v>0</v>
      </c>
      <c r="U526">
        <v>0</v>
      </c>
      <c r="V526">
        <v>16</v>
      </c>
      <c r="W526" s="22">
        <f t="shared" si="24"/>
        <v>17624</v>
      </c>
      <c r="X526" t="str">
        <f t="shared" si="25"/>
        <v>A</v>
      </c>
      <c r="Y526" s="23">
        <f t="shared" si="26"/>
        <v>0.99977303676804352</v>
      </c>
      <c r="AA526" s="23"/>
    </row>
    <row r="527" spans="1:33">
      <c r="A527">
        <v>522</v>
      </c>
      <c r="B527">
        <v>0</v>
      </c>
      <c r="C527">
        <v>0</v>
      </c>
      <c r="D527">
        <v>17624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17</v>
      </c>
      <c r="W527" s="22">
        <f t="shared" si="24"/>
        <v>17625</v>
      </c>
      <c r="X527" t="str">
        <f t="shared" si="25"/>
        <v>D</v>
      </c>
      <c r="Y527" s="23">
        <f t="shared" si="26"/>
        <v>0.99994326241134757</v>
      </c>
      <c r="AA527" s="23"/>
    </row>
    <row r="528" spans="1:33">
      <c r="A528">
        <v>523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2</v>
      </c>
      <c r="J528">
        <v>0</v>
      </c>
      <c r="K528">
        <v>0</v>
      </c>
      <c r="L528">
        <v>17622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17</v>
      </c>
      <c r="W528" s="22">
        <f t="shared" si="24"/>
        <v>17624</v>
      </c>
      <c r="X528" t="str">
        <f t="shared" si="25"/>
        <v>M</v>
      </c>
      <c r="Y528" s="23">
        <f t="shared" si="26"/>
        <v>0.99988651838402176</v>
      </c>
      <c r="AA528" s="23"/>
    </row>
    <row r="529" spans="1:27">
      <c r="A529">
        <v>524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3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2</v>
      </c>
      <c r="N529">
        <v>0</v>
      </c>
      <c r="O529">
        <v>0</v>
      </c>
      <c r="P529">
        <v>0</v>
      </c>
      <c r="Q529">
        <v>17618</v>
      </c>
      <c r="R529">
        <v>0</v>
      </c>
      <c r="S529">
        <v>0</v>
      </c>
      <c r="T529">
        <v>0</v>
      </c>
      <c r="U529">
        <v>0</v>
      </c>
      <c r="V529">
        <v>17</v>
      </c>
      <c r="W529" s="22">
        <f t="shared" si="24"/>
        <v>17625</v>
      </c>
      <c r="X529" t="str">
        <f t="shared" si="25"/>
        <v>S</v>
      </c>
      <c r="Y529" s="23">
        <f t="shared" si="26"/>
        <v>0.99960283687943263</v>
      </c>
      <c r="AA529" s="23"/>
    </row>
    <row r="530" spans="1:27">
      <c r="A530">
        <v>525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17595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28</v>
      </c>
      <c r="T530">
        <v>0</v>
      </c>
      <c r="U530">
        <v>0</v>
      </c>
      <c r="V530">
        <v>17</v>
      </c>
      <c r="W530" s="22">
        <f t="shared" si="24"/>
        <v>17624</v>
      </c>
      <c r="X530" t="str">
        <f t="shared" si="25"/>
        <v>I</v>
      </c>
      <c r="Y530" s="23">
        <f t="shared" si="26"/>
        <v>0.99835451656831598</v>
      </c>
      <c r="AA530" s="23"/>
    </row>
    <row r="531" spans="1:27">
      <c r="A531">
        <v>526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17625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17</v>
      </c>
      <c r="W531" s="22">
        <f t="shared" si="24"/>
        <v>17625</v>
      </c>
      <c r="X531" t="str">
        <f t="shared" si="25"/>
        <v>G</v>
      </c>
      <c r="Y531" s="23">
        <f t="shared" si="26"/>
        <v>1</v>
      </c>
      <c r="AA531" s="23"/>
    </row>
    <row r="532" spans="1:27">
      <c r="A532">
        <v>527</v>
      </c>
      <c r="B532">
        <v>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33</v>
      </c>
      <c r="J532">
        <v>0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17586</v>
      </c>
      <c r="T532">
        <v>0</v>
      </c>
      <c r="U532">
        <v>0</v>
      </c>
      <c r="V532">
        <v>17</v>
      </c>
      <c r="W532" s="22">
        <f t="shared" si="24"/>
        <v>17624</v>
      </c>
      <c r="X532" t="str">
        <f t="shared" si="25"/>
        <v>V</v>
      </c>
      <c r="Y532" s="23">
        <f t="shared" si="26"/>
        <v>0.99784384929641401</v>
      </c>
      <c r="AA532" s="23"/>
    </row>
    <row r="533" spans="1:27">
      <c r="A533">
        <v>528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17625</v>
      </c>
      <c r="S533">
        <v>0</v>
      </c>
      <c r="T533">
        <v>0</v>
      </c>
      <c r="U533">
        <v>0</v>
      </c>
      <c r="V533">
        <v>17</v>
      </c>
      <c r="W533" s="22">
        <f t="shared" si="24"/>
        <v>17625</v>
      </c>
      <c r="X533" t="str">
        <f t="shared" si="25"/>
        <v>T</v>
      </c>
      <c r="Y533" s="23">
        <f t="shared" si="26"/>
        <v>1</v>
      </c>
      <c r="AA533" s="23"/>
    </row>
    <row r="534" spans="1:27">
      <c r="A534">
        <v>529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17625</v>
      </c>
      <c r="T534">
        <v>0</v>
      </c>
      <c r="U534">
        <v>0</v>
      </c>
      <c r="V534">
        <v>17</v>
      </c>
      <c r="W534" s="22">
        <f t="shared" si="24"/>
        <v>17625</v>
      </c>
      <c r="X534" t="str">
        <f t="shared" si="25"/>
        <v>V</v>
      </c>
      <c r="Y534" s="23">
        <f t="shared" si="26"/>
        <v>1</v>
      </c>
      <c r="AA534" s="23"/>
    </row>
    <row r="535" spans="1:27">
      <c r="A535">
        <v>530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17625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16</v>
      </c>
      <c r="W535" s="22">
        <f t="shared" si="24"/>
        <v>17626</v>
      </c>
      <c r="X535" t="str">
        <f t="shared" si="25"/>
        <v>I</v>
      </c>
      <c r="Y535" s="23">
        <f t="shared" si="26"/>
        <v>0.99994326563031888</v>
      </c>
      <c r="AA535" s="23"/>
    </row>
    <row r="536" spans="1:27">
      <c r="A536">
        <v>531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17616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16</v>
      </c>
      <c r="W536" s="22">
        <f t="shared" si="24"/>
        <v>17623</v>
      </c>
      <c r="X536" t="str">
        <f t="shared" si="25"/>
        <v>K</v>
      </c>
      <c r="Y536" s="23">
        <f t="shared" si="26"/>
        <v>0.99960279180616241</v>
      </c>
      <c r="AA536" s="23"/>
    </row>
    <row r="537" spans="1:27">
      <c r="A537">
        <v>532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17626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16</v>
      </c>
      <c r="W537" s="22">
        <f t="shared" si="24"/>
        <v>17627</v>
      </c>
      <c r="X537" t="str">
        <f t="shared" si="25"/>
        <v>N</v>
      </c>
      <c r="Y537" s="23">
        <f t="shared" si="26"/>
        <v>0.99994326884892493</v>
      </c>
      <c r="AA537" s="23"/>
    </row>
    <row r="538" spans="1:27">
      <c r="A538">
        <v>533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17623</v>
      </c>
      <c r="N538">
        <v>0</v>
      </c>
      <c r="O538">
        <v>0</v>
      </c>
      <c r="P538">
        <v>0</v>
      </c>
      <c r="Q538">
        <v>4</v>
      </c>
      <c r="R538">
        <v>0</v>
      </c>
      <c r="S538">
        <v>0</v>
      </c>
      <c r="T538">
        <v>0</v>
      </c>
      <c r="U538">
        <v>0</v>
      </c>
      <c r="V538">
        <v>16</v>
      </c>
      <c r="W538" s="22">
        <f t="shared" si="24"/>
        <v>17627</v>
      </c>
      <c r="X538" t="str">
        <f t="shared" si="25"/>
        <v>N</v>
      </c>
      <c r="Y538" s="23">
        <f t="shared" si="26"/>
        <v>0.99977307539569982</v>
      </c>
      <c r="AA538" s="23"/>
    </row>
    <row r="539" spans="1:27">
      <c r="A539">
        <v>534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17627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16</v>
      </c>
      <c r="W539" s="22">
        <f t="shared" si="24"/>
        <v>17628</v>
      </c>
      <c r="X539" t="str">
        <f t="shared" si="25"/>
        <v>M</v>
      </c>
      <c r="Y539" s="23">
        <f t="shared" si="26"/>
        <v>0.99994327206716582</v>
      </c>
      <c r="AA539" s="23"/>
    </row>
    <row r="540" spans="1:27">
      <c r="A540">
        <v>535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17600</v>
      </c>
      <c r="J540">
        <v>0</v>
      </c>
      <c r="K540">
        <v>2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</v>
      </c>
      <c r="S540">
        <v>21</v>
      </c>
      <c r="T540">
        <v>0</v>
      </c>
      <c r="U540">
        <v>0</v>
      </c>
      <c r="V540">
        <v>16</v>
      </c>
      <c r="W540" s="22">
        <f t="shared" si="24"/>
        <v>17626</v>
      </c>
      <c r="X540" t="str">
        <f t="shared" si="25"/>
        <v>I</v>
      </c>
      <c r="Y540" s="23">
        <f t="shared" si="26"/>
        <v>0.99852490638829006</v>
      </c>
      <c r="AA540" s="23"/>
    </row>
    <row r="541" spans="1:27">
      <c r="A541">
        <v>536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17627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16</v>
      </c>
      <c r="W541" s="22">
        <f t="shared" si="24"/>
        <v>17627</v>
      </c>
      <c r="X541" t="str">
        <f t="shared" si="25"/>
        <v>N</v>
      </c>
      <c r="Y541" s="23">
        <f t="shared" si="26"/>
        <v>1</v>
      </c>
      <c r="AA541" s="23"/>
    </row>
    <row r="542" spans="1:27">
      <c r="A542">
        <v>537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17615</v>
      </c>
      <c r="N542">
        <v>0</v>
      </c>
      <c r="O542">
        <v>0</v>
      </c>
      <c r="P542">
        <v>0</v>
      </c>
      <c r="Q542">
        <v>12</v>
      </c>
      <c r="R542">
        <v>0</v>
      </c>
      <c r="S542">
        <v>0</v>
      </c>
      <c r="T542">
        <v>0</v>
      </c>
      <c r="U542">
        <v>0</v>
      </c>
      <c r="V542">
        <v>16</v>
      </c>
      <c r="W542" s="22">
        <f t="shared" si="24"/>
        <v>17627</v>
      </c>
      <c r="X542" t="str">
        <f t="shared" si="25"/>
        <v>N</v>
      </c>
      <c r="Y542" s="23">
        <f t="shared" si="26"/>
        <v>0.99931922618709934</v>
      </c>
      <c r="AA542" s="23"/>
    </row>
    <row r="543" spans="1:27">
      <c r="A543">
        <v>538</v>
      </c>
      <c r="B543">
        <v>0</v>
      </c>
      <c r="C543">
        <v>0</v>
      </c>
      <c r="D543">
        <v>17628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16</v>
      </c>
      <c r="W543" s="22">
        <f t="shared" si="24"/>
        <v>17628</v>
      </c>
      <c r="X543" t="str">
        <f t="shared" si="25"/>
        <v>D</v>
      </c>
      <c r="Y543" s="23">
        <f t="shared" si="26"/>
        <v>1</v>
      </c>
      <c r="AA543" s="23"/>
    </row>
    <row r="544" spans="1:27">
      <c r="A544">
        <v>539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17626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16</v>
      </c>
      <c r="W544" s="22">
        <f t="shared" si="24"/>
        <v>17627</v>
      </c>
      <c r="X544" t="str">
        <f t="shared" si="25"/>
        <v>L</v>
      </c>
      <c r="Y544" s="23">
        <f t="shared" si="26"/>
        <v>0.99994326884892493</v>
      </c>
      <c r="AA544" s="23"/>
    </row>
    <row r="545" spans="1:27">
      <c r="A545">
        <v>540</v>
      </c>
      <c r="B545">
        <v>0</v>
      </c>
      <c r="C545">
        <v>0</v>
      </c>
      <c r="D545">
        <v>0</v>
      </c>
      <c r="E545">
        <v>13</v>
      </c>
      <c r="F545">
        <v>0</v>
      </c>
      <c r="G545">
        <v>17613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16</v>
      </c>
      <c r="W545" s="22">
        <f t="shared" si="24"/>
        <v>17626</v>
      </c>
      <c r="X545" t="str">
        <f t="shared" si="25"/>
        <v>G</v>
      </c>
      <c r="Y545" s="23">
        <f t="shared" si="26"/>
        <v>0.99926245319414497</v>
      </c>
      <c r="AA545" s="23"/>
    </row>
    <row r="546" spans="1:27">
      <c r="A546">
        <v>541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17626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16</v>
      </c>
      <c r="W546" s="22">
        <f t="shared" si="24"/>
        <v>17626</v>
      </c>
      <c r="X546" t="str">
        <f t="shared" si="25"/>
        <v>P</v>
      </c>
      <c r="Y546" s="23">
        <f t="shared" si="26"/>
        <v>1</v>
      </c>
      <c r="AA546" s="23"/>
    </row>
    <row r="547" spans="1:27">
      <c r="A547">
        <v>542</v>
      </c>
      <c r="B547">
        <v>17627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16</v>
      </c>
      <c r="W547" s="22">
        <f t="shared" si="24"/>
        <v>17627</v>
      </c>
      <c r="X547" t="str">
        <f t="shared" si="25"/>
        <v>A</v>
      </c>
      <c r="Y547" s="23">
        <f t="shared" si="26"/>
        <v>1</v>
      </c>
      <c r="AA547" s="23"/>
    </row>
    <row r="548" spans="1:27">
      <c r="A548">
        <v>543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17624</v>
      </c>
      <c r="S548">
        <v>0</v>
      </c>
      <c r="T548">
        <v>0</v>
      </c>
      <c r="U548">
        <v>0</v>
      </c>
      <c r="V548">
        <v>16</v>
      </c>
      <c r="W548" s="22">
        <f t="shared" si="24"/>
        <v>17625</v>
      </c>
      <c r="X548" t="str">
        <f t="shared" si="25"/>
        <v>T</v>
      </c>
      <c r="Y548" s="23">
        <f t="shared" si="26"/>
        <v>0.99994326241134757</v>
      </c>
      <c r="AA548" s="23"/>
    </row>
    <row r="549" spans="1:27">
      <c r="A549">
        <v>544</v>
      </c>
      <c r="B549">
        <v>17629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15</v>
      </c>
      <c r="W549" s="22">
        <f t="shared" si="24"/>
        <v>17629</v>
      </c>
      <c r="X549" t="str">
        <f t="shared" si="25"/>
        <v>A</v>
      </c>
      <c r="Y549" s="23">
        <f t="shared" si="26"/>
        <v>1</v>
      </c>
      <c r="AA549" s="23"/>
    </row>
    <row r="550" spans="1:27">
      <c r="A550">
        <v>545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17629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15</v>
      </c>
      <c r="W550" s="22">
        <f t="shared" si="24"/>
        <v>17629</v>
      </c>
      <c r="X550" t="str">
        <f t="shared" si="25"/>
        <v>Q</v>
      </c>
      <c r="Y550" s="23">
        <f t="shared" si="26"/>
        <v>1</v>
      </c>
      <c r="AA550" s="23"/>
    </row>
    <row r="551" spans="1:27">
      <c r="A551">
        <v>546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17628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15</v>
      </c>
      <c r="W551" s="22">
        <f t="shared" si="24"/>
        <v>17629</v>
      </c>
      <c r="X551" t="str">
        <f t="shared" si="25"/>
        <v>M</v>
      </c>
      <c r="Y551" s="23">
        <f t="shared" si="26"/>
        <v>0.99994327528504168</v>
      </c>
      <c r="AA551" s="23"/>
    </row>
    <row r="552" spans="1:27">
      <c r="A552">
        <v>547</v>
      </c>
      <c r="B552">
        <v>17628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15</v>
      </c>
      <c r="W552" s="22">
        <f t="shared" si="24"/>
        <v>17628</v>
      </c>
      <c r="X552" t="str">
        <f t="shared" si="25"/>
        <v>A</v>
      </c>
      <c r="Y552" s="23">
        <f t="shared" si="26"/>
        <v>1</v>
      </c>
      <c r="AA552" s="23"/>
    </row>
    <row r="553" spans="1:27">
      <c r="A553">
        <v>548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3</v>
      </c>
      <c r="J553">
        <v>0</v>
      </c>
      <c r="K553">
        <v>17622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15</v>
      </c>
      <c r="W553" s="22">
        <f t="shared" si="24"/>
        <v>17625</v>
      </c>
      <c r="X553" t="str">
        <f t="shared" si="25"/>
        <v>L</v>
      </c>
      <c r="Y553" s="23">
        <f t="shared" si="26"/>
        <v>0.99982978723404259</v>
      </c>
      <c r="AA553" s="23"/>
    </row>
    <row r="554" spans="1:27">
      <c r="A554">
        <v>549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17627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15</v>
      </c>
      <c r="W554" s="22">
        <f t="shared" si="24"/>
        <v>17627</v>
      </c>
      <c r="X554" t="str">
        <f t="shared" si="25"/>
        <v>Q</v>
      </c>
      <c r="Y554" s="23">
        <f t="shared" si="26"/>
        <v>1</v>
      </c>
      <c r="AA554" s="23"/>
    </row>
    <row r="555" spans="1:27">
      <c r="A555">
        <v>550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17619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15</v>
      </c>
      <c r="W555" s="22">
        <f t="shared" si="24"/>
        <v>17619</v>
      </c>
      <c r="X555" t="str">
        <f t="shared" si="25"/>
        <v>L</v>
      </c>
      <c r="Y555" s="23">
        <f t="shared" si="26"/>
        <v>1</v>
      </c>
      <c r="AA555" s="23"/>
    </row>
    <row r="556" spans="1:27">
      <c r="A556">
        <v>551</v>
      </c>
      <c r="B556">
        <v>0</v>
      </c>
      <c r="C556">
        <v>0</v>
      </c>
      <c r="D556">
        <v>0</v>
      </c>
      <c r="E556">
        <v>0</v>
      </c>
      <c r="F556">
        <v>17627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15</v>
      </c>
      <c r="W556" s="22">
        <f t="shared" si="24"/>
        <v>17627</v>
      </c>
      <c r="X556" t="str">
        <f t="shared" si="25"/>
        <v>F</v>
      </c>
      <c r="Y556" s="23">
        <f t="shared" si="26"/>
        <v>1</v>
      </c>
      <c r="AA556" s="23"/>
    </row>
    <row r="557" spans="1:27">
      <c r="A557">
        <v>552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17618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</v>
      </c>
      <c r="S557">
        <v>6</v>
      </c>
      <c r="T557">
        <v>0</v>
      </c>
      <c r="U557">
        <v>0</v>
      </c>
      <c r="V557">
        <v>15</v>
      </c>
      <c r="W557" s="22">
        <f t="shared" si="24"/>
        <v>17627</v>
      </c>
      <c r="X557" t="str">
        <f t="shared" si="25"/>
        <v>I</v>
      </c>
      <c r="Y557" s="23">
        <f t="shared" si="26"/>
        <v>0.99948941964032445</v>
      </c>
      <c r="AA557" s="23"/>
    </row>
    <row r="558" spans="1:27">
      <c r="A558">
        <v>553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17627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15</v>
      </c>
      <c r="W558" s="22">
        <f t="shared" si="24"/>
        <v>17627</v>
      </c>
      <c r="X558" t="str">
        <f t="shared" si="25"/>
        <v>K</v>
      </c>
      <c r="Y558" s="23">
        <f t="shared" si="26"/>
        <v>1</v>
      </c>
      <c r="AA558" s="23"/>
    </row>
    <row r="559" spans="1:27">
      <c r="A559">
        <v>554</v>
      </c>
      <c r="B559">
        <v>0</v>
      </c>
      <c r="C559">
        <v>0</v>
      </c>
      <c r="D559">
        <v>17625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15</v>
      </c>
      <c r="W559" s="22">
        <f t="shared" si="24"/>
        <v>17627</v>
      </c>
      <c r="X559" t="str">
        <f t="shared" si="25"/>
        <v>D</v>
      </c>
      <c r="Y559" s="23">
        <f t="shared" si="26"/>
        <v>0.99988653769784985</v>
      </c>
      <c r="AA559" s="23"/>
    </row>
    <row r="560" spans="1:27">
      <c r="A560">
        <v>555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17627</v>
      </c>
      <c r="V560">
        <v>15</v>
      </c>
      <c r="W560" s="22">
        <f t="shared" si="24"/>
        <v>17628</v>
      </c>
      <c r="X560" t="str">
        <f t="shared" si="25"/>
        <v>Y</v>
      </c>
      <c r="Y560" s="23">
        <f t="shared" si="26"/>
        <v>0.99994327206716582</v>
      </c>
      <c r="AA560" s="23"/>
    </row>
    <row r="561" spans="1:27">
      <c r="A561">
        <v>556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17629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15</v>
      </c>
      <c r="W561" s="22">
        <f t="shared" si="24"/>
        <v>17629</v>
      </c>
      <c r="X561" t="str">
        <f t="shared" si="25"/>
        <v>R</v>
      </c>
      <c r="Y561" s="23">
        <f t="shared" si="26"/>
        <v>1</v>
      </c>
      <c r="AA561" s="23"/>
    </row>
    <row r="562" spans="1:27">
      <c r="A562">
        <v>557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17627</v>
      </c>
      <c r="V562">
        <v>15</v>
      </c>
      <c r="W562" s="22">
        <f t="shared" si="24"/>
        <v>17627</v>
      </c>
      <c r="X562" t="str">
        <f t="shared" si="25"/>
        <v>Y</v>
      </c>
      <c r="Y562" s="23">
        <f t="shared" si="26"/>
        <v>1</v>
      </c>
      <c r="AA562" s="23"/>
    </row>
    <row r="563" spans="1:27">
      <c r="A563">
        <v>558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17628</v>
      </c>
      <c r="S563">
        <v>0</v>
      </c>
      <c r="T563">
        <v>0</v>
      </c>
      <c r="U563">
        <v>0</v>
      </c>
      <c r="V563">
        <v>15</v>
      </c>
      <c r="W563" s="22">
        <f t="shared" si="24"/>
        <v>17629</v>
      </c>
      <c r="X563" t="str">
        <f t="shared" si="25"/>
        <v>T</v>
      </c>
      <c r="Y563" s="23">
        <f t="shared" si="26"/>
        <v>0.99994327528504168</v>
      </c>
      <c r="AA563" s="23"/>
    </row>
    <row r="564" spans="1:27">
      <c r="A564">
        <v>559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17627</v>
      </c>
      <c r="V564">
        <v>15</v>
      </c>
      <c r="W564" s="22">
        <f t="shared" si="24"/>
        <v>17627</v>
      </c>
      <c r="X564" t="str">
        <f t="shared" si="25"/>
        <v>Y</v>
      </c>
      <c r="Y564" s="23">
        <f t="shared" si="26"/>
        <v>1</v>
      </c>
      <c r="AA564" s="23"/>
    </row>
    <row r="565" spans="1:27">
      <c r="A565">
        <v>560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17628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14</v>
      </c>
      <c r="W565" s="22">
        <f t="shared" si="24"/>
        <v>17628</v>
      </c>
      <c r="X565" t="str">
        <f t="shared" si="25"/>
        <v>R</v>
      </c>
      <c r="Y565" s="23">
        <f t="shared" si="26"/>
        <v>1</v>
      </c>
      <c r="AA565" s="23"/>
    </row>
    <row r="566" spans="1:27">
      <c r="A566">
        <v>561</v>
      </c>
      <c r="B566">
        <v>0</v>
      </c>
      <c r="C566">
        <v>17630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14</v>
      </c>
      <c r="W566" s="22">
        <f t="shared" si="24"/>
        <v>17630</v>
      </c>
      <c r="X566" t="str">
        <f t="shared" si="25"/>
        <v>C</v>
      </c>
      <c r="Y566" s="23">
        <f t="shared" si="26"/>
        <v>1</v>
      </c>
      <c r="AA566" s="23"/>
    </row>
    <row r="567" spans="1:27">
      <c r="A567">
        <v>562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17624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14</v>
      </c>
      <c r="W567" s="22">
        <f t="shared" si="24"/>
        <v>17625</v>
      </c>
      <c r="X567" t="str">
        <f t="shared" si="25"/>
        <v>H</v>
      </c>
      <c r="Y567" s="23">
        <f t="shared" si="26"/>
        <v>0.99994326241134757</v>
      </c>
      <c r="AA567" s="23"/>
    </row>
    <row r="568" spans="1:27">
      <c r="A568">
        <v>563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137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17484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14</v>
      </c>
      <c r="W568" s="22">
        <f t="shared" si="24"/>
        <v>17624</v>
      </c>
      <c r="X568" t="str">
        <f t="shared" si="25"/>
        <v>R</v>
      </c>
      <c r="Y568" s="23">
        <f t="shared" si="26"/>
        <v>0.99205628688152514</v>
      </c>
      <c r="AA568" s="23"/>
    </row>
    <row r="569" spans="1:27">
      <c r="A569">
        <v>564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17625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14</v>
      </c>
      <c r="W569" s="22">
        <f t="shared" si="24"/>
        <v>17625</v>
      </c>
      <c r="X569" t="str">
        <f t="shared" si="25"/>
        <v>G</v>
      </c>
      <c r="Y569" s="23">
        <f t="shared" si="26"/>
        <v>1</v>
      </c>
      <c r="AA569" s="23"/>
    </row>
    <row r="570" spans="1:27">
      <c r="A570">
        <v>565</v>
      </c>
      <c r="B570">
        <v>0</v>
      </c>
      <c r="C570">
        <v>0</v>
      </c>
      <c r="D570">
        <v>17620</v>
      </c>
      <c r="E570">
        <v>2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14</v>
      </c>
      <c r="W570" s="22">
        <f t="shared" si="24"/>
        <v>17627</v>
      </c>
      <c r="X570" t="str">
        <f t="shared" si="25"/>
        <v>D</v>
      </c>
      <c r="Y570" s="23">
        <f t="shared" si="26"/>
        <v>0.9996028819424746</v>
      </c>
      <c r="AA570" s="23"/>
    </row>
    <row r="571" spans="1:27">
      <c r="A571">
        <v>566</v>
      </c>
      <c r="B571">
        <v>30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5</v>
      </c>
      <c r="J571">
        <v>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3</v>
      </c>
      <c r="R571">
        <v>17587</v>
      </c>
      <c r="S571">
        <v>0</v>
      </c>
      <c r="T571">
        <v>0</v>
      </c>
      <c r="U571">
        <v>0</v>
      </c>
      <c r="V571">
        <v>14</v>
      </c>
      <c r="W571" s="22">
        <f t="shared" si="24"/>
        <v>17628</v>
      </c>
      <c r="X571" t="str">
        <f t="shared" si="25"/>
        <v>T</v>
      </c>
      <c r="Y571" s="23">
        <f t="shared" si="26"/>
        <v>0.99767415475380072</v>
      </c>
      <c r="AA571" s="23"/>
    </row>
    <row r="572" spans="1:27">
      <c r="A572">
        <v>567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3</v>
      </c>
      <c r="K572">
        <v>9</v>
      </c>
      <c r="L572">
        <v>0</v>
      </c>
      <c r="M572">
        <v>0</v>
      </c>
      <c r="N572">
        <v>0</v>
      </c>
      <c r="O572">
        <v>17613</v>
      </c>
      <c r="P572">
        <v>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14</v>
      </c>
      <c r="W572" s="22">
        <f t="shared" si="24"/>
        <v>17630</v>
      </c>
      <c r="X572" t="str">
        <f t="shared" si="25"/>
        <v>Q</v>
      </c>
      <c r="Y572" s="23">
        <f t="shared" si="26"/>
        <v>0.9990357345433919</v>
      </c>
      <c r="AA572" s="23"/>
    </row>
    <row r="573" spans="1:27">
      <c r="A573">
        <v>568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17616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3</v>
      </c>
      <c r="S573">
        <v>7</v>
      </c>
      <c r="T573">
        <v>0</v>
      </c>
      <c r="U573">
        <v>0</v>
      </c>
      <c r="V573">
        <v>14</v>
      </c>
      <c r="W573" s="22">
        <f t="shared" si="24"/>
        <v>17626</v>
      </c>
      <c r="X573" t="str">
        <f t="shared" si="25"/>
        <v>I</v>
      </c>
      <c r="Y573" s="23">
        <f t="shared" si="26"/>
        <v>0.99943265630318845</v>
      </c>
      <c r="AA573" s="23"/>
    </row>
    <row r="574" spans="1:27">
      <c r="A574">
        <v>569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6</v>
      </c>
      <c r="I574">
        <v>0</v>
      </c>
      <c r="J574">
        <v>1</v>
      </c>
      <c r="K574">
        <v>4</v>
      </c>
      <c r="L574">
        <v>0</v>
      </c>
      <c r="M574">
        <v>0</v>
      </c>
      <c r="N574">
        <v>0</v>
      </c>
      <c r="O574">
        <v>17615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14</v>
      </c>
      <c r="W574" s="22">
        <f t="shared" si="24"/>
        <v>17627</v>
      </c>
      <c r="X574" t="str">
        <f t="shared" si="25"/>
        <v>Q</v>
      </c>
      <c r="Y574" s="23">
        <f t="shared" si="26"/>
        <v>0.99931922618709934</v>
      </c>
      <c r="AA574" s="23"/>
    </row>
    <row r="575" spans="1:27">
      <c r="A575">
        <v>570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17627</v>
      </c>
      <c r="S575">
        <v>0</v>
      </c>
      <c r="T575">
        <v>0</v>
      </c>
      <c r="U575">
        <v>0</v>
      </c>
      <c r="V575">
        <v>14</v>
      </c>
      <c r="W575" s="22">
        <f t="shared" si="24"/>
        <v>17627</v>
      </c>
      <c r="X575" t="str">
        <f t="shared" si="25"/>
        <v>T</v>
      </c>
      <c r="Y575" s="23">
        <f t="shared" si="26"/>
        <v>1</v>
      </c>
      <c r="AA575" s="23"/>
    </row>
    <row r="576" spans="1:27">
      <c r="A576">
        <v>571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8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17619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14</v>
      </c>
      <c r="W576" s="22">
        <f t="shared" si="24"/>
        <v>17628</v>
      </c>
      <c r="X576" t="str">
        <f t="shared" si="25"/>
        <v>R</v>
      </c>
      <c r="Y576" s="23">
        <f t="shared" si="26"/>
        <v>0.99948944860449285</v>
      </c>
      <c r="AA576" s="23"/>
    </row>
    <row r="577" spans="1:35">
      <c r="A577">
        <v>572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17627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14</v>
      </c>
      <c r="W577" s="22">
        <f t="shared" si="24"/>
        <v>17628</v>
      </c>
      <c r="X577" t="str">
        <f t="shared" si="25"/>
        <v>R</v>
      </c>
      <c r="Y577" s="23">
        <f t="shared" si="26"/>
        <v>0.99994327206716582</v>
      </c>
      <c r="AA577" s="23"/>
    </row>
    <row r="578" spans="1:35">
      <c r="A578" s="24">
        <v>573</v>
      </c>
      <c r="B578" s="24">
        <v>0</v>
      </c>
      <c r="C578" s="24">
        <v>0</v>
      </c>
      <c r="D578" s="24">
        <v>0</v>
      </c>
      <c r="E578" s="24">
        <v>0</v>
      </c>
      <c r="F578" s="24">
        <v>0</v>
      </c>
      <c r="G578" s="24">
        <v>0</v>
      </c>
      <c r="H578" s="24">
        <v>0</v>
      </c>
      <c r="I578" s="24">
        <v>0</v>
      </c>
      <c r="J578" s="24">
        <v>0</v>
      </c>
      <c r="K578" s="24">
        <v>1</v>
      </c>
      <c r="L578" s="24">
        <v>0</v>
      </c>
      <c r="M578" s="24">
        <v>0</v>
      </c>
      <c r="N578" s="24">
        <v>0</v>
      </c>
      <c r="O578" s="24">
        <v>0</v>
      </c>
      <c r="P578" s="24">
        <v>0</v>
      </c>
      <c r="Q578" s="24">
        <v>17615</v>
      </c>
      <c r="R578" s="24">
        <v>10</v>
      </c>
      <c r="S578" s="24">
        <v>0</v>
      </c>
      <c r="T578" s="24">
        <v>0</v>
      </c>
      <c r="U578" s="24">
        <v>0</v>
      </c>
      <c r="V578" s="24">
        <v>14</v>
      </c>
      <c r="W578" s="24">
        <f t="shared" si="24"/>
        <v>17626</v>
      </c>
      <c r="X578" s="24" t="str">
        <f t="shared" si="25"/>
        <v>S</v>
      </c>
      <c r="Y578" s="25">
        <f t="shared" si="26"/>
        <v>0.99937592193350733</v>
      </c>
      <c r="Z578" s="24"/>
      <c r="AA578" s="25">
        <f>B578/W578</f>
        <v>0</v>
      </c>
      <c r="AB578" s="24"/>
      <c r="AC578" s="24"/>
      <c r="AD578" s="24"/>
      <c r="AE578" s="24"/>
    </row>
    <row r="579" spans="1:35">
      <c r="A579">
        <v>574</v>
      </c>
      <c r="B579">
        <v>0</v>
      </c>
      <c r="C579">
        <v>0</v>
      </c>
      <c r="D579">
        <v>0</v>
      </c>
      <c r="E579">
        <v>0</v>
      </c>
      <c r="F579">
        <v>17611</v>
      </c>
      <c r="G579">
        <v>0</v>
      </c>
      <c r="H579">
        <v>0</v>
      </c>
      <c r="I579">
        <v>0</v>
      </c>
      <c r="J579">
        <v>0</v>
      </c>
      <c r="K579">
        <v>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10</v>
      </c>
      <c r="R579">
        <v>0</v>
      </c>
      <c r="S579">
        <v>0</v>
      </c>
      <c r="T579">
        <v>0</v>
      </c>
      <c r="U579">
        <v>0</v>
      </c>
      <c r="V579">
        <v>14</v>
      </c>
      <c r="W579" s="22">
        <f t="shared" si="24"/>
        <v>17628</v>
      </c>
      <c r="X579" t="str">
        <f t="shared" si="25"/>
        <v>F</v>
      </c>
      <c r="Y579" s="23">
        <f t="shared" si="26"/>
        <v>0.99903562514181987</v>
      </c>
      <c r="AA579" s="23"/>
    </row>
    <row r="580" spans="1:35">
      <c r="A580">
        <v>575</v>
      </c>
      <c r="B580">
        <v>0</v>
      </c>
      <c r="C580">
        <v>0</v>
      </c>
      <c r="D580">
        <v>0</v>
      </c>
      <c r="E580">
        <v>17625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13</v>
      </c>
      <c r="W580" s="22">
        <f t="shared" si="24"/>
        <v>17625</v>
      </c>
      <c r="X580" t="str">
        <f t="shared" si="25"/>
        <v>E</v>
      </c>
      <c r="Y580" s="23">
        <f t="shared" si="26"/>
        <v>1</v>
      </c>
      <c r="AA580" s="23"/>
    </row>
    <row r="581" spans="1:35">
      <c r="A581">
        <v>576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7</v>
      </c>
      <c r="J581">
        <v>0</v>
      </c>
      <c r="K581">
        <v>17618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</v>
      </c>
      <c r="T581">
        <v>0</v>
      </c>
      <c r="U581">
        <v>0</v>
      </c>
      <c r="V581">
        <v>13</v>
      </c>
      <c r="W581" s="22">
        <f t="shared" si="24"/>
        <v>17627</v>
      </c>
      <c r="X581" t="str">
        <f t="shared" si="25"/>
        <v>L</v>
      </c>
      <c r="Y581" s="23">
        <f t="shared" si="26"/>
        <v>0.99948941964032445</v>
      </c>
      <c r="AA581" s="23"/>
    </row>
    <row r="582" spans="1:35">
      <c r="A582">
        <v>577</v>
      </c>
      <c r="B582">
        <v>0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17606</v>
      </c>
      <c r="K582">
        <v>0</v>
      </c>
      <c r="L582">
        <v>1</v>
      </c>
      <c r="M582">
        <v>7</v>
      </c>
      <c r="N582">
        <v>0</v>
      </c>
      <c r="O582">
        <v>0</v>
      </c>
      <c r="P582">
        <v>13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13</v>
      </c>
      <c r="W582" s="22">
        <f t="shared" ref="W582:W645" si="27">SUM(B582:U582)</f>
        <v>17629</v>
      </c>
      <c r="X582" t="str">
        <f t="shared" ref="X582:X645" si="28">INDEX(($B$4:$U$4),MATCH(LARGE(B582:U582,1),B582:U582,0))</f>
        <v>K</v>
      </c>
      <c r="Y582" s="23">
        <f t="shared" ref="Y582:Y645" si="29">(MAX(B582:U582))/W582</f>
        <v>0.99869533155595891</v>
      </c>
      <c r="AA582" s="23"/>
    </row>
    <row r="583" spans="1:35">
      <c r="A583">
        <v>578</v>
      </c>
      <c r="B583">
        <v>0</v>
      </c>
      <c r="C583">
        <v>0</v>
      </c>
      <c r="D583">
        <v>0</v>
      </c>
      <c r="E583">
        <v>4</v>
      </c>
      <c r="F583">
        <v>0</v>
      </c>
      <c r="G583">
        <v>0</v>
      </c>
      <c r="H583">
        <v>0</v>
      </c>
      <c r="I583">
        <v>0</v>
      </c>
      <c r="J583">
        <v>17608</v>
      </c>
      <c r="K583">
        <v>0</v>
      </c>
      <c r="L583">
        <v>1</v>
      </c>
      <c r="M583">
        <v>3</v>
      </c>
      <c r="N583">
        <v>0</v>
      </c>
      <c r="O583">
        <v>4</v>
      </c>
      <c r="P583">
        <v>8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13</v>
      </c>
      <c r="W583" s="22">
        <f t="shared" si="27"/>
        <v>17629</v>
      </c>
      <c r="X583" t="str">
        <f t="shared" si="28"/>
        <v>K</v>
      </c>
      <c r="Y583" s="23">
        <f t="shared" si="29"/>
        <v>0.99880878098587556</v>
      </c>
      <c r="AA583" s="23"/>
    </row>
    <row r="584" spans="1:35">
      <c r="A584">
        <v>579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17626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13</v>
      </c>
      <c r="W584" s="22">
        <f t="shared" si="27"/>
        <v>17629</v>
      </c>
      <c r="X584" t="str">
        <f t="shared" si="28"/>
        <v>L</v>
      </c>
      <c r="Y584" s="23">
        <f t="shared" si="29"/>
        <v>0.99982982585512503</v>
      </c>
      <c r="AA584" s="23"/>
    </row>
    <row r="585" spans="1:35">
      <c r="A585">
        <v>580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17630</v>
      </c>
      <c r="U585">
        <v>0</v>
      </c>
      <c r="V585">
        <v>13</v>
      </c>
      <c r="W585" s="22">
        <f t="shared" si="27"/>
        <v>17630</v>
      </c>
      <c r="X585" t="str">
        <f t="shared" si="28"/>
        <v>W</v>
      </c>
      <c r="Y585" s="23">
        <f t="shared" si="29"/>
        <v>1</v>
      </c>
      <c r="AA585" s="23"/>
    </row>
    <row r="586" spans="1:35">
      <c r="A586" s="24">
        <v>581</v>
      </c>
      <c r="B586" s="24">
        <v>0</v>
      </c>
      <c r="C586" s="24">
        <v>0</v>
      </c>
      <c r="D586" s="24">
        <v>17572</v>
      </c>
      <c r="E586" s="24">
        <v>4</v>
      </c>
      <c r="F586" s="24">
        <v>0</v>
      </c>
      <c r="G586" s="24">
        <v>14</v>
      </c>
      <c r="H586" s="24">
        <v>0</v>
      </c>
      <c r="I586" s="24">
        <v>0</v>
      </c>
      <c r="J586" s="24">
        <v>0</v>
      </c>
      <c r="K586" s="24">
        <v>0</v>
      </c>
      <c r="L586" s="24">
        <v>0</v>
      </c>
      <c r="M586" s="24">
        <v>37</v>
      </c>
      <c r="N586" s="24">
        <v>0</v>
      </c>
      <c r="O586" s="24">
        <v>0</v>
      </c>
      <c r="P586" s="24">
        <v>0</v>
      </c>
      <c r="Q586" s="24">
        <v>0</v>
      </c>
      <c r="R586" s="24">
        <v>0</v>
      </c>
      <c r="S586" s="24">
        <v>0</v>
      </c>
      <c r="T586" s="24">
        <v>0</v>
      </c>
      <c r="U586" s="24">
        <v>0</v>
      </c>
      <c r="V586" s="24">
        <v>13</v>
      </c>
      <c r="W586" s="24">
        <f t="shared" si="27"/>
        <v>17627</v>
      </c>
      <c r="X586" s="24" t="str">
        <f t="shared" si="28"/>
        <v>D</v>
      </c>
      <c r="Y586" s="25">
        <f t="shared" si="29"/>
        <v>0.99687978669087196</v>
      </c>
      <c r="Z586" s="24"/>
      <c r="AA586" s="25">
        <f>E586/W586</f>
        <v>2.2692460430022126E-4</v>
      </c>
      <c r="AB586" s="24"/>
      <c r="AC586" s="24"/>
      <c r="AD586" s="24"/>
      <c r="AE586" s="24"/>
      <c r="AF586" s="24"/>
      <c r="AG586" s="24"/>
      <c r="AH586" s="24"/>
      <c r="AI586" s="24"/>
    </row>
    <row r="587" spans="1:35">
      <c r="A587">
        <v>582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6</v>
      </c>
      <c r="K587">
        <v>1</v>
      </c>
      <c r="L587">
        <v>0</v>
      </c>
      <c r="M587">
        <v>0</v>
      </c>
      <c r="N587">
        <v>0</v>
      </c>
      <c r="O587">
        <v>17623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13</v>
      </c>
      <c r="W587" s="22">
        <f t="shared" si="27"/>
        <v>17631</v>
      </c>
      <c r="X587" t="str">
        <f t="shared" si="28"/>
        <v>Q</v>
      </c>
      <c r="Y587" s="23">
        <f t="shared" si="29"/>
        <v>0.9995462537575861</v>
      </c>
      <c r="AA587" s="23"/>
    </row>
    <row r="588" spans="1:35">
      <c r="A588">
        <v>583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3</v>
      </c>
      <c r="R588">
        <v>17624</v>
      </c>
      <c r="S588">
        <v>0</v>
      </c>
      <c r="T588">
        <v>0</v>
      </c>
      <c r="U588">
        <v>0</v>
      </c>
      <c r="V588">
        <v>13</v>
      </c>
      <c r="W588" s="22">
        <f t="shared" si="27"/>
        <v>17628</v>
      </c>
      <c r="X588" t="str">
        <f t="shared" si="28"/>
        <v>T</v>
      </c>
      <c r="Y588" s="23">
        <f t="shared" si="29"/>
        <v>0.99977308826866351</v>
      </c>
      <c r="AA588" s="23"/>
    </row>
    <row r="589" spans="1:35">
      <c r="A589" s="24">
        <v>584</v>
      </c>
      <c r="B589" s="24">
        <v>0</v>
      </c>
      <c r="C589" s="24">
        <v>0</v>
      </c>
      <c r="D589" s="24">
        <v>0</v>
      </c>
      <c r="E589" s="24">
        <v>0</v>
      </c>
      <c r="F589" s="24">
        <v>0</v>
      </c>
      <c r="G589" s="24">
        <v>0</v>
      </c>
      <c r="H589" s="24">
        <v>0</v>
      </c>
      <c r="I589" s="24">
        <v>0</v>
      </c>
      <c r="J589" s="24">
        <v>10</v>
      </c>
      <c r="K589" s="24">
        <v>0</v>
      </c>
      <c r="L589" s="24">
        <v>0</v>
      </c>
      <c r="M589" s="24">
        <v>0</v>
      </c>
      <c r="N589" s="24">
        <v>0</v>
      </c>
      <c r="O589" s="24">
        <v>17585</v>
      </c>
      <c r="P589" s="24">
        <v>35</v>
      </c>
      <c r="Q589" s="24">
        <v>0</v>
      </c>
      <c r="R589" s="24">
        <v>0</v>
      </c>
      <c r="S589" s="24">
        <v>0</v>
      </c>
      <c r="T589" s="24">
        <v>0</v>
      </c>
      <c r="U589" s="24">
        <v>0</v>
      </c>
      <c r="V589" s="24">
        <v>13</v>
      </c>
      <c r="W589" s="24">
        <f t="shared" si="27"/>
        <v>17630</v>
      </c>
      <c r="X589" s="24" t="str">
        <f t="shared" si="28"/>
        <v>Q</v>
      </c>
      <c r="Y589" s="25">
        <f t="shared" si="29"/>
        <v>0.99744753261486108</v>
      </c>
      <c r="Z589" s="24"/>
      <c r="AA589" s="25">
        <f>P589/W589</f>
        <v>1.9852524106636414E-3</v>
      </c>
      <c r="AB589" s="24"/>
      <c r="AC589" s="24"/>
      <c r="AD589" s="24"/>
      <c r="AE589" s="24"/>
      <c r="AF589" s="24"/>
      <c r="AG589" s="24"/>
      <c r="AH589" s="24"/>
    </row>
    <row r="590" spans="1:35">
      <c r="A590">
        <v>585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17628</v>
      </c>
      <c r="R590">
        <v>0</v>
      </c>
      <c r="S590">
        <v>0</v>
      </c>
      <c r="T590">
        <v>0</v>
      </c>
      <c r="U590">
        <v>0</v>
      </c>
      <c r="V590">
        <v>13</v>
      </c>
      <c r="W590" s="22">
        <f t="shared" si="27"/>
        <v>17628</v>
      </c>
      <c r="X590" t="str">
        <f t="shared" si="28"/>
        <v>S</v>
      </c>
      <c r="Y590" s="23">
        <f t="shared" si="29"/>
        <v>1</v>
      </c>
      <c r="AA590" s="23"/>
    </row>
    <row r="591" spans="1:35">
      <c r="A591">
        <v>586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17607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20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13</v>
      </c>
      <c r="W591" s="22">
        <f t="shared" si="27"/>
        <v>17630</v>
      </c>
      <c r="X591" t="str">
        <f t="shared" si="28"/>
        <v>K</v>
      </c>
      <c r="Y591" s="23">
        <f t="shared" si="29"/>
        <v>0.99869540555870673</v>
      </c>
      <c r="AA591" s="23"/>
    </row>
    <row r="592" spans="1:35">
      <c r="A592" s="24">
        <v>587</v>
      </c>
      <c r="B592" s="24">
        <v>97</v>
      </c>
      <c r="C592" s="24">
        <v>0</v>
      </c>
      <c r="D592" s="24">
        <v>0</v>
      </c>
      <c r="E592" s="24">
        <v>0</v>
      </c>
      <c r="F592" s="24">
        <v>0</v>
      </c>
      <c r="G592" s="24">
        <v>73</v>
      </c>
      <c r="H592" s="24">
        <v>0</v>
      </c>
      <c r="I592" s="24">
        <v>45</v>
      </c>
      <c r="J592" s="24">
        <v>0</v>
      </c>
      <c r="K592" s="24">
        <v>0</v>
      </c>
      <c r="L592" s="24">
        <v>0</v>
      </c>
      <c r="M592" s="24">
        <v>0</v>
      </c>
      <c r="N592" s="24">
        <v>0</v>
      </c>
      <c r="O592" s="24">
        <v>0</v>
      </c>
      <c r="P592" s="24">
        <v>0</v>
      </c>
      <c r="Q592" s="24">
        <v>0</v>
      </c>
      <c r="R592" s="24">
        <v>6</v>
      </c>
      <c r="S592" s="24">
        <v>17404</v>
      </c>
      <c r="T592" s="24">
        <v>0</v>
      </c>
      <c r="U592" s="24">
        <v>0</v>
      </c>
      <c r="V592" s="24">
        <v>13</v>
      </c>
      <c r="W592" s="24">
        <f t="shared" si="27"/>
        <v>17625</v>
      </c>
      <c r="X592" s="24" t="str">
        <f t="shared" si="28"/>
        <v>V</v>
      </c>
      <c r="Y592" s="25">
        <f t="shared" si="29"/>
        <v>0.98746099290780143</v>
      </c>
      <c r="Z592" s="24"/>
      <c r="AA592" s="25">
        <f>B592/W592</f>
        <v>5.5035460992907802E-3</v>
      </c>
      <c r="AB592" s="24"/>
      <c r="AC592" s="24"/>
      <c r="AD592" s="24"/>
      <c r="AE592" s="24"/>
      <c r="AF592" s="24"/>
      <c r="AG592" s="24"/>
      <c r="AH592" s="24"/>
      <c r="AI592" s="24"/>
    </row>
    <row r="593" spans="1:27">
      <c r="A593">
        <v>588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17628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13</v>
      </c>
      <c r="W593" s="22">
        <f t="shared" si="27"/>
        <v>17628</v>
      </c>
      <c r="X593" t="str">
        <f t="shared" si="28"/>
        <v>G</v>
      </c>
      <c r="Y593" s="23">
        <f t="shared" si="29"/>
        <v>1</v>
      </c>
      <c r="AA593" s="23"/>
    </row>
    <row r="594" spans="1:27">
      <c r="A594">
        <v>589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17630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13</v>
      </c>
      <c r="W594" s="22">
        <f t="shared" si="27"/>
        <v>17630</v>
      </c>
      <c r="X594" t="str">
        <f t="shared" si="28"/>
        <v>L</v>
      </c>
      <c r="Y594" s="23">
        <f t="shared" si="29"/>
        <v>1</v>
      </c>
      <c r="AA594" s="23"/>
    </row>
    <row r="595" spans="1:27">
      <c r="A595">
        <v>590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17629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13</v>
      </c>
      <c r="W595" s="22">
        <f t="shared" si="27"/>
        <v>17629</v>
      </c>
      <c r="X595" t="str">
        <f t="shared" si="28"/>
        <v>L</v>
      </c>
      <c r="Y595" s="23">
        <f t="shared" si="29"/>
        <v>1</v>
      </c>
      <c r="AA595" s="23"/>
    </row>
    <row r="596" spans="1:27">
      <c r="A596">
        <v>591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17605</v>
      </c>
      <c r="T596">
        <v>0</v>
      </c>
      <c r="U596">
        <v>0</v>
      </c>
      <c r="V596">
        <v>13</v>
      </c>
      <c r="W596" s="22">
        <f t="shared" si="27"/>
        <v>17627</v>
      </c>
      <c r="X596" t="str">
        <f t="shared" si="28"/>
        <v>V</v>
      </c>
      <c r="Y596" s="23">
        <f t="shared" si="29"/>
        <v>0.99875191467634883</v>
      </c>
      <c r="AA596" s="23"/>
    </row>
    <row r="597" spans="1:27">
      <c r="A597">
        <v>592</v>
      </c>
      <c r="B597">
        <v>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17628</v>
      </c>
      <c r="R597">
        <v>0</v>
      </c>
      <c r="S597">
        <v>0</v>
      </c>
      <c r="T597">
        <v>0</v>
      </c>
      <c r="U597">
        <v>0</v>
      </c>
      <c r="V597">
        <v>13</v>
      </c>
      <c r="W597" s="22">
        <f t="shared" si="27"/>
        <v>17631</v>
      </c>
      <c r="X597" t="str">
        <f t="shared" si="28"/>
        <v>S</v>
      </c>
      <c r="Y597" s="23">
        <f t="shared" si="29"/>
        <v>0.99982984515909479</v>
      </c>
      <c r="AA597" s="23"/>
    </row>
    <row r="598" spans="1:27">
      <c r="A598">
        <v>593</v>
      </c>
      <c r="B598">
        <v>0</v>
      </c>
      <c r="C598">
        <v>0</v>
      </c>
      <c r="D598">
        <v>17629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13</v>
      </c>
      <c r="W598" s="22">
        <f t="shared" si="27"/>
        <v>17630</v>
      </c>
      <c r="X598" t="str">
        <f t="shared" si="28"/>
        <v>D</v>
      </c>
      <c r="Y598" s="23">
        <f t="shared" si="29"/>
        <v>0.99994327850255249</v>
      </c>
      <c r="AA598" s="23"/>
    </row>
    <row r="599" spans="1:27">
      <c r="A599">
        <v>594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17627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12</v>
      </c>
      <c r="W599" s="22">
        <f t="shared" si="27"/>
        <v>17627</v>
      </c>
      <c r="X599" t="str">
        <f t="shared" si="28"/>
        <v>G</v>
      </c>
      <c r="Y599" s="23">
        <f t="shared" si="29"/>
        <v>1</v>
      </c>
      <c r="AA599" s="23"/>
    </row>
    <row r="600" spans="1:27">
      <c r="A600">
        <v>595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17631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12</v>
      </c>
      <c r="W600" s="22">
        <f t="shared" si="27"/>
        <v>17631</v>
      </c>
      <c r="X600" t="str">
        <f t="shared" si="28"/>
        <v>G</v>
      </c>
      <c r="Y600" s="23">
        <f t="shared" si="29"/>
        <v>1</v>
      </c>
      <c r="AA600" s="23"/>
    </row>
    <row r="601" spans="1:27">
      <c r="A601">
        <v>596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17629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12</v>
      </c>
      <c r="W601" s="22">
        <f t="shared" si="27"/>
        <v>17630</v>
      </c>
      <c r="X601" t="str">
        <f t="shared" si="28"/>
        <v>P</v>
      </c>
      <c r="Y601" s="23">
        <f t="shared" si="29"/>
        <v>0.99994327850255249</v>
      </c>
      <c r="AA601" s="23"/>
    </row>
    <row r="602" spans="1:27">
      <c r="A602">
        <v>597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17630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12</v>
      </c>
      <c r="W602" s="22">
        <f t="shared" si="27"/>
        <v>17631</v>
      </c>
      <c r="X602" t="str">
        <f t="shared" si="28"/>
        <v>N</v>
      </c>
      <c r="Y602" s="23">
        <f t="shared" si="29"/>
        <v>0.99994328171969826</v>
      </c>
      <c r="AA602" s="23"/>
    </row>
    <row r="603" spans="1:27">
      <c r="A603">
        <v>598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17627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2</v>
      </c>
      <c r="T603">
        <v>0</v>
      </c>
      <c r="U603">
        <v>0</v>
      </c>
      <c r="V603">
        <v>12</v>
      </c>
      <c r="W603" s="22">
        <f t="shared" si="27"/>
        <v>17631</v>
      </c>
      <c r="X603" t="str">
        <f t="shared" si="28"/>
        <v>L</v>
      </c>
      <c r="Y603" s="23">
        <f t="shared" si="29"/>
        <v>0.99977312687879305</v>
      </c>
      <c r="AA603" s="23"/>
    </row>
    <row r="604" spans="1:27">
      <c r="A604">
        <v>599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17630</v>
      </c>
      <c r="V604">
        <v>12</v>
      </c>
      <c r="W604" s="22">
        <f t="shared" si="27"/>
        <v>17631</v>
      </c>
      <c r="X604" t="str">
        <f t="shared" si="28"/>
        <v>Y</v>
      </c>
      <c r="Y604" s="23">
        <f t="shared" si="29"/>
        <v>0.99994328171969826</v>
      </c>
      <c r="AA604" s="23"/>
    </row>
    <row r="605" spans="1:27">
      <c r="A605">
        <v>600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17630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12</v>
      </c>
      <c r="W605" s="22">
        <f t="shared" si="27"/>
        <v>17630</v>
      </c>
      <c r="X605" t="str">
        <f t="shared" si="28"/>
        <v>N</v>
      </c>
      <c r="Y605" s="23">
        <f t="shared" si="29"/>
        <v>1</v>
      </c>
      <c r="AA605" s="23"/>
    </row>
    <row r="606" spans="1:27">
      <c r="A606">
        <v>601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17628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</v>
      </c>
      <c r="T606">
        <v>0</v>
      </c>
      <c r="U606">
        <v>0</v>
      </c>
      <c r="V606">
        <v>12</v>
      </c>
      <c r="W606" s="22">
        <f t="shared" si="27"/>
        <v>17631</v>
      </c>
      <c r="X606" t="str">
        <f t="shared" si="28"/>
        <v>I</v>
      </c>
      <c r="Y606" s="23">
        <f t="shared" si="29"/>
        <v>0.99982984515909479</v>
      </c>
      <c r="AA606" s="23"/>
    </row>
    <row r="607" spans="1:27">
      <c r="A607">
        <v>602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17626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12</v>
      </c>
      <c r="W607" s="22">
        <f t="shared" si="27"/>
        <v>17627</v>
      </c>
      <c r="X607" t="str">
        <f t="shared" si="28"/>
        <v>R</v>
      </c>
      <c r="Y607" s="23">
        <f t="shared" si="29"/>
        <v>0.99994326884892493</v>
      </c>
      <c r="AA607" s="23"/>
    </row>
    <row r="608" spans="1:27">
      <c r="A608">
        <v>603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17630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12</v>
      </c>
      <c r="W608" s="22">
        <f t="shared" si="27"/>
        <v>17631</v>
      </c>
      <c r="X608" t="str">
        <f t="shared" si="28"/>
        <v>N</v>
      </c>
      <c r="Y608" s="23">
        <f t="shared" si="29"/>
        <v>0.99994328171969826</v>
      </c>
      <c r="AA608" s="23"/>
    </row>
    <row r="609" spans="1:31">
      <c r="A609">
        <v>604</v>
      </c>
      <c r="B609">
        <v>0</v>
      </c>
      <c r="C609">
        <v>0</v>
      </c>
      <c r="D609">
        <v>0</v>
      </c>
      <c r="E609">
        <v>0</v>
      </c>
      <c r="F609">
        <v>6</v>
      </c>
      <c r="G609">
        <v>0</v>
      </c>
      <c r="H609">
        <v>0</v>
      </c>
      <c r="I609">
        <v>3</v>
      </c>
      <c r="J609">
        <v>0</v>
      </c>
      <c r="K609">
        <v>17618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12</v>
      </c>
      <c r="W609" s="22">
        <f t="shared" si="27"/>
        <v>17627</v>
      </c>
      <c r="X609" t="str">
        <f t="shared" si="28"/>
        <v>L</v>
      </c>
      <c r="Y609" s="23">
        <f t="shared" si="29"/>
        <v>0.99948941964032445</v>
      </c>
      <c r="AA609" s="23"/>
    </row>
    <row r="610" spans="1:31">
      <c r="A610">
        <v>605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17627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12</v>
      </c>
      <c r="W610" s="22">
        <f t="shared" si="27"/>
        <v>17630</v>
      </c>
      <c r="X610" t="str">
        <f t="shared" si="28"/>
        <v>H</v>
      </c>
      <c r="Y610" s="23">
        <f t="shared" si="29"/>
        <v>0.99982983550765736</v>
      </c>
      <c r="AA610" s="23"/>
    </row>
    <row r="611" spans="1:31">
      <c r="A611">
        <v>606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17623</v>
      </c>
      <c r="J611">
        <v>0</v>
      </c>
      <c r="K611">
        <v>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12</v>
      </c>
      <c r="W611" s="22">
        <f t="shared" si="27"/>
        <v>17629</v>
      </c>
      <c r="X611" t="str">
        <f t="shared" si="28"/>
        <v>I</v>
      </c>
      <c r="Y611" s="23">
        <f t="shared" si="29"/>
        <v>0.99965965171025017</v>
      </c>
      <c r="AA611" s="23"/>
    </row>
    <row r="612" spans="1:31">
      <c r="A612">
        <v>607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17627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12</v>
      </c>
      <c r="W612" s="22">
        <f t="shared" si="27"/>
        <v>17627</v>
      </c>
      <c r="X612" t="str">
        <f t="shared" si="28"/>
        <v>P</v>
      </c>
      <c r="Y612" s="23">
        <f t="shared" si="29"/>
        <v>1</v>
      </c>
      <c r="AA612" s="23"/>
    </row>
    <row r="613" spans="1:31">
      <c r="A613">
        <v>608</v>
      </c>
      <c r="B613">
        <v>0</v>
      </c>
      <c r="C613">
        <v>0</v>
      </c>
      <c r="D613">
        <v>6</v>
      </c>
      <c r="E613">
        <v>17622</v>
      </c>
      <c r="F613">
        <v>0</v>
      </c>
      <c r="G613">
        <v>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12</v>
      </c>
      <c r="W613" s="22">
        <f t="shared" si="27"/>
        <v>17632</v>
      </c>
      <c r="X613" t="str">
        <f t="shared" si="28"/>
        <v>E</v>
      </c>
      <c r="Y613" s="23">
        <f t="shared" si="29"/>
        <v>0.99943284936479126</v>
      </c>
      <c r="AA613" s="23"/>
    </row>
    <row r="614" spans="1:31">
      <c r="A614">
        <v>609</v>
      </c>
      <c r="B614">
        <v>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4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5</v>
      </c>
      <c r="R614">
        <v>0</v>
      </c>
      <c r="S614">
        <v>17612</v>
      </c>
      <c r="T614">
        <v>0</v>
      </c>
      <c r="U614">
        <v>0</v>
      </c>
      <c r="V614">
        <v>12</v>
      </c>
      <c r="W614" s="22">
        <f t="shared" si="27"/>
        <v>17630</v>
      </c>
      <c r="X614" t="str">
        <f t="shared" si="28"/>
        <v>V</v>
      </c>
      <c r="Y614" s="23">
        <f t="shared" si="29"/>
        <v>0.99897901304594439</v>
      </c>
      <c r="AA614" s="23"/>
    </row>
    <row r="615" spans="1:31">
      <c r="A615">
        <v>610</v>
      </c>
      <c r="B615">
        <v>0</v>
      </c>
      <c r="C615">
        <v>17626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4</v>
      </c>
      <c r="R615">
        <v>0</v>
      </c>
      <c r="S615">
        <v>0</v>
      </c>
      <c r="T615">
        <v>0</v>
      </c>
      <c r="U615">
        <v>0</v>
      </c>
      <c r="V615">
        <v>12</v>
      </c>
      <c r="W615" s="22">
        <f t="shared" si="27"/>
        <v>17630</v>
      </c>
      <c r="X615" t="str">
        <f t="shared" si="28"/>
        <v>C</v>
      </c>
      <c r="Y615" s="23">
        <f t="shared" si="29"/>
        <v>0.99977311401020985</v>
      </c>
      <c r="AA615" s="23"/>
    </row>
    <row r="616" spans="1:31">
      <c r="A616">
        <v>611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17626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</v>
      </c>
      <c r="R616">
        <v>0</v>
      </c>
      <c r="S616">
        <v>0</v>
      </c>
      <c r="T616">
        <v>0</v>
      </c>
      <c r="U616">
        <v>0</v>
      </c>
      <c r="V616">
        <v>12</v>
      </c>
      <c r="W616" s="22">
        <f t="shared" si="27"/>
        <v>17629</v>
      </c>
      <c r="X616" t="str">
        <f t="shared" si="28"/>
        <v>L</v>
      </c>
      <c r="Y616" s="23">
        <f t="shared" si="29"/>
        <v>0.99982982585512503</v>
      </c>
      <c r="AA616" s="23"/>
    </row>
    <row r="617" spans="1:31">
      <c r="A617">
        <v>612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17632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12</v>
      </c>
      <c r="W617" s="22">
        <f t="shared" si="27"/>
        <v>17632</v>
      </c>
      <c r="X617" t="str">
        <f t="shared" si="28"/>
        <v>K</v>
      </c>
      <c r="Y617" s="23">
        <f t="shared" si="29"/>
        <v>1</v>
      </c>
      <c r="AA617" s="23"/>
    </row>
    <row r="618" spans="1:31">
      <c r="A618">
        <v>613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17631</v>
      </c>
      <c r="U618">
        <v>0</v>
      </c>
      <c r="V618">
        <v>12</v>
      </c>
      <c r="W618" s="22">
        <f t="shared" si="27"/>
        <v>17631</v>
      </c>
      <c r="X618" t="str">
        <f t="shared" si="28"/>
        <v>W</v>
      </c>
      <c r="Y618" s="23">
        <f t="shared" si="29"/>
        <v>1</v>
      </c>
      <c r="AA618" s="23"/>
    </row>
    <row r="619" spans="1:31">
      <c r="A619">
        <v>614</v>
      </c>
      <c r="B619">
        <v>1</v>
      </c>
      <c r="C619">
        <v>0</v>
      </c>
      <c r="D619">
        <v>8</v>
      </c>
      <c r="E619">
        <v>17612</v>
      </c>
      <c r="F619">
        <v>0</v>
      </c>
      <c r="G619">
        <v>3</v>
      </c>
      <c r="H619">
        <v>0</v>
      </c>
      <c r="I619">
        <v>0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12</v>
      </c>
      <c r="W619" s="22">
        <f t="shared" si="27"/>
        <v>17626</v>
      </c>
      <c r="X619" t="str">
        <f t="shared" si="28"/>
        <v>E</v>
      </c>
      <c r="Y619" s="23">
        <f t="shared" si="29"/>
        <v>0.99920571882446385</v>
      </c>
      <c r="AA619" s="23"/>
    </row>
    <row r="620" spans="1:31">
      <c r="A620">
        <v>615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17627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12</v>
      </c>
      <c r="W620" s="22">
        <f t="shared" si="27"/>
        <v>17628</v>
      </c>
      <c r="X620" t="str">
        <f t="shared" si="28"/>
        <v>L</v>
      </c>
      <c r="Y620" s="23">
        <f t="shared" si="29"/>
        <v>0.99994327206716582</v>
      </c>
      <c r="AA620" s="23"/>
    </row>
    <row r="621" spans="1:31">
      <c r="A621">
        <v>616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17632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12</v>
      </c>
      <c r="W621" s="22">
        <f t="shared" si="27"/>
        <v>17632</v>
      </c>
      <c r="X621" t="str">
        <f t="shared" si="28"/>
        <v>M</v>
      </c>
      <c r="Y621" s="23">
        <f t="shared" si="29"/>
        <v>1</v>
      </c>
      <c r="AA621" s="23"/>
    </row>
    <row r="622" spans="1:31">
      <c r="A622">
        <v>617</v>
      </c>
      <c r="B622">
        <v>0</v>
      </c>
      <c r="C622">
        <v>0</v>
      </c>
      <c r="D622">
        <v>17630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12</v>
      </c>
      <c r="W622" s="22">
        <f t="shared" si="27"/>
        <v>17631</v>
      </c>
      <c r="X622" t="str">
        <f t="shared" si="28"/>
        <v>D</v>
      </c>
      <c r="Y622" s="23">
        <f t="shared" si="29"/>
        <v>0.99994328171969826</v>
      </c>
      <c r="AA622" s="23"/>
    </row>
    <row r="623" spans="1:31">
      <c r="A623" s="24">
        <v>618</v>
      </c>
      <c r="B623" s="24">
        <v>2</v>
      </c>
      <c r="C623" s="24">
        <v>0</v>
      </c>
      <c r="D623" s="24">
        <v>17536</v>
      </c>
      <c r="E623" s="24">
        <v>23</v>
      </c>
      <c r="F623" s="24">
        <v>0</v>
      </c>
      <c r="G623" s="24">
        <v>36</v>
      </c>
      <c r="H623" s="24">
        <v>0</v>
      </c>
      <c r="I623" s="24">
        <v>0</v>
      </c>
      <c r="J623" s="24">
        <v>0</v>
      </c>
      <c r="K623" s="24">
        <v>0</v>
      </c>
      <c r="L623" s="24">
        <v>0</v>
      </c>
      <c r="M623" s="24">
        <v>26</v>
      </c>
      <c r="N623" s="24">
        <v>0</v>
      </c>
      <c r="O623" s="24">
        <v>0</v>
      </c>
      <c r="P623" s="24">
        <v>0</v>
      </c>
      <c r="Q623" s="24">
        <v>0</v>
      </c>
      <c r="R623" s="24">
        <v>0</v>
      </c>
      <c r="S623" s="24">
        <v>3</v>
      </c>
      <c r="T623" s="24">
        <v>0</v>
      </c>
      <c r="U623" s="24">
        <v>0</v>
      </c>
      <c r="V623" s="24">
        <v>12</v>
      </c>
      <c r="W623" s="24">
        <f t="shared" si="27"/>
        <v>17626</v>
      </c>
      <c r="X623" s="24" t="str">
        <f t="shared" si="28"/>
        <v>D</v>
      </c>
      <c r="Y623" s="25">
        <f t="shared" si="29"/>
        <v>0.99489390672869626</v>
      </c>
      <c r="Z623" s="24"/>
      <c r="AA623" s="25">
        <f>E623/W623</f>
        <v>1.3048905026665154E-3</v>
      </c>
      <c r="AB623" s="24"/>
      <c r="AC623" s="24"/>
      <c r="AD623" s="24"/>
      <c r="AE623" s="24"/>
    </row>
    <row r="624" spans="1:31">
      <c r="A624">
        <v>619</v>
      </c>
      <c r="B624">
        <v>1</v>
      </c>
      <c r="C624">
        <v>0</v>
      </c>
      <c r="D624">
        <v>17494</v>
      </c>
      <c r="E624">
        <v>2</v>
      </c>
      <c r="F624">
        <v>0</v>
      </c>
      <c r="G624">
        <v>99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</v>
      </c>
      <c r="V624">
        <v>12</v>
      </c>
      <c r="W624" s="22">
        <f t="shared" si="27"/>
        <v>17631</v>
      </c>
      <c r="X624" t="str">
        <f t="shared" si="28"/>
        <v>D</v>
      </c>
      <c r="Y624" s="23">
        <f t="shared" si="29"/>
        <v>0.99222959559866142</v>
      </c>
      <c r="AA624" s="23"/>
    </row>
    <row r="625" spans="1:33">
      <c r="A625">
        <v>620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17630</v>
      </c>
      <c r="V625">
        <v>12</v>
      </c>
      <c r="W625" s="22">
        <f t="shared" si="27"/>
        <v>17630</v>
      </c>
      <c r="X625" t="str">
        <f t="shared" si="28"/>
        <v>Y</v>
      </c>
      <c r="Y625" s="23">
        <f t="shared" si="29"/>
        <v>1</v>
      </c>
      <c r="AA625" s="23"/>
    </row>
    <row r="626" spans="1:33" s="24" customFormat="1">
      <c r="A626" s="24">
        <v>621</v>
      </c>
      <c r="B626" s="24">
        <v>0</v>
      </c>
      <c r="C626" s="24">
        <v>0</v>
      </c>
      <c r="D626" s="24">
        <v>0</v>
      </c>
      <c r="E626" s="24">
        <v>0</v>
      </c>
      <c r="F626" s="24">
        <v>0</v>
      </c>
      <c r="G626" s="24">
        <v>0</v>
      </c>
      <c r="H626" s="24">
        <v>0</v>
      </c>
      <c r="I626" s="24">
        <v>0</v>
      </c>
      <c r="J626" s="24">
        <v>0</v>
      </c>
      <c r="K626" s="24">
        <v>0</v>
      </c>
      <c r="L626" s="24">
        <v>0</v>
      </c>
      <c r="M626" s="24">
        <v>0</v>
      </c>
      <c r="N626" s="24">
        <v>0</v>
      </c>
      <c r="O626" s="24">
        <v>21</v>
      </c>
      <c r="P626" s="24">
        <v>17606</v>
      </c>
      <c r="Q626" s="24">
        <v>0</v>
      </c>
      <c r="R626" s="24">
        <v>0</v>
      </c>
      <c r="S626" s="24">
        <v>0</v>
      </c>
      <c r="T626" s="24">
        <v>0</v>
      </c>
      <c r="U626" s="24">
        <v>0</v>
      </c>
      <c r="V626" s="24">
        <v>12</v>
      </c>
      <c r="W626" s="22">
        <f t="shared" si="27"/>
        <v>17627</v>
      </c>
      <c r="X626" t="str">
        <f t="shared" si="28"/>
        <v>R</v>
      </c>
      <c r="Y626" s="23">
        <f t="shared" si="29"/>
        <v>0.99880864582742379</v>
      </c>
      <c r="AA626" s="25">
        <f>O626/W626</f>
        <v>1.1913541725761616E-3</v>
      </c>
    </row>
    <row r="627" spans="1:33">
      <c r="A627">
        <v>622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17621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12</v>
      </c>
      <c r="W627" s="22">
        <f t="shared" si="27"/>
        <v>17624</v>
      </c>
      <c r="X627" t="str">
        <f t="shared" si="28"/>
        <v>G</v>
      </c>
      <c r="Y627" s="23">
        <f t="shared" si="29"/>
        <v>0.99982977757603264</v>
      </c>
      <c r="AA627" s="23"/>
    </row>
    <row r="628" spans="1:33">
      <c r="A628">
        <v>623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17625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12</v>
      </c>
      <c r="W628" s="22">
        <f t="shared" si="27"/>
        <v>17628</v>
      </c>
      <c r="X628" t="str">
        <f t="shared" si="28"/>
        <v>R</v>
      </c>
      <c r="Y628" s="23">
        <f t="shared" si="29"/>
        <v>0.99982981620149758</v>
      </c>
      <c r="AA628" s="23"/>
    </row>
    <row r="629" spans="1:33">
      <c r="A629">
        <v>624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4</v>
      </c>
      <c r="J629">
        <v>0</v>
      </c>
      <c r="K629">
        <v>17623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12</v>
      </c>
      <c r="W629" s="22">
        <f t="shared" si="27"/>
        <v>17627</v>
      </c>
      <c r="X629" t="str">
        <f t="shared" si="28"/>
        <v>L</v>
      </c>
      <c r="Y629" s="23">
        <f t="shared" si="29"/>
        <v>0.99977307539569982</v>
      </c>
      <c r="AA629" s="23"/>
    </row>
    <row r="630" spans="1:33">
      <c r="A630">
        <v>625</v>
      </c>
      <c r="B630">
        <v>0</v>
      </c>
      <c r="C630">
        <v>17626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11</v>
      </c>
      <c r="W630" s="22">
        <f t="shared" si="27"/>
        <v>17627</v>
      </c>
      <c r="X630" t="str">
        <f t="shared" si="28"/>
        <v>C</v>
      </c>
      <c r="Y630" s="23">
        <f t="shared" si="29"/>
        <v>0.99994326884892493</v>
      </c>
      <c r="AA630" s="23"/>
    </row>
    <row r="631" spans="1:33">
      <c r="A631">
        <v>626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17630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11</v>
      </c>
      <c r="W631" s="22">
        <f t="shared" si="27"/>
        <v>17631</v>
      </c>
      <c r="X631" t="str">
        <f t="shared" si="28"/>
        <v>N</v>
      </c>
      <c r="Y631" s="23">
        <f t="shared" si="29"/>
        <v>0.99994328171969826</v>
      </c>
      <c r="AA631" s="23"/>
    </row>
    <row r="632" spans="1:33">
      <c r="A632">
        <v>627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17621</v>
      </c>
      <c r="O632">
        <v>0</v>
      </c>
      <c r="P632">
        <v>0</v>
      </c>
      <c r="Q632">
        <v>8</v>
      </c>
      <c r="R632">
        <v>0</v>
      </c>
      <c r="S632">
        <v>0</v>
      </c>
      <c r="T632">
        <v>0</v>
      </c>
      <c r="U632">
        <v>0</v>
      </c>
      <c r="V632">
        <v>11</v>
      </c>
      <c r="W632" s="22">
        <f t="shared" si="27"/>
        <v>17629</v>
      </c>
      <c r="X632" t="str">
        <f t="shared" si="28"/>
        <v>P</v>
      </c>
      <c r="Y632" s="23">
        <f t="shared" si="29"/>
        <v>0.99954620228033353</v>
      </c>
      <c r="AA632" s="23"/>
    </row>
    <row r="633" spans="1:33">
      <c r="A633" s="24">
        <v>628</v>
      </c>
      <c r="B633" s="24">
        <v>0</v>
      </c>
      <c r="C633" s="24">
        <v>0</v>
      </c>
      <c r="D633" s="24">
        <v>0</v>
      </c>
      <c r="E633" s="24">
        <v>0</v>
      </c>
      <c r="F633" s="24">
        <v>0</v>
      </c>
      <c r="G633" s="24">
        <v>0</v>
      </c>
      <c r="H633" s="24">
        <v>0</v>
      </c>
      <c r="I633" s="24">
        <v>0</v>
      </c>
      <c r="J633" s="24">
        <v>0</v>
      </c>
      <c r="K633" s="24">
        <v>17607</v>
      </c>
      <c r="L633" s="24">
        <v>16</v>
      </c>
      <c r="M633" s="24">
        <v>0</v>
      </c>
      <c r="N633" s="24">
        <v>0</v>
      </c>
      <c r="O633" s="24">
        <v>7</v>
      </c>
      <c r="P633" s="24">
        <v>0</v>
      </c>
      <c r="Q633" s="24">
        <v>0</v>
      </c>
      <c r="R633" s="24">
        <v>0</v>
      </c>
      <c r="S633" s="24">
        <v>0</v>
      </c>
      <c r="T633" s="24">
        <v>0</v>
      </c>
      <c r="U633" s="24">
        <v>0</v>
      </c>
      <c r="V633" s="24">
        <v>11</v>
      </c>
      <c r="W633" s="24">
        <f t="shared" si="27"/>
        <v>17630</v>
      </c>
      <c r="X633" s="24" t="str">
        <f t="shared" si="28"/>
        <v>L</v>
      </c>
      <c r="Y633" s="25">
        <f t="shared" si="29"/>
        <v>0.99869540555870673</v>
      </c>
      <c r="Z633" s="24"/>
      <c r="AA633" s="25">
        <f>L633/W633</f>
        <v>9.0754395916052186E-4</v>
      </c>
      <c r="AB633" s="24"/>
      <c r="AC633" s="24"/>
      <c r="AD633" s="24"/>
      <c r="AE633" s="24"/>
      <c r="AF633" s="24"/>
      <c r="AG633" s="24"/>
    </row>
    <row r="634" spans="1:33">
      <c r="A634">
        <v>629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17628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11</v>
      </c>
      <c r="W634" s="22">
        <f t="shared" si="27"/>
        <v>17628</v>
      </c>
      <c r="X634" t="str">
        <f t="shared" si="28"/>
        <v>N</v>
      </c>
      <c r="Y634" s="23">
        <f t="shared" si="29"/>
        <v>1</v>
      </c>
      <c r="AA634" s="23"/>
    </row>
    <row r="635" spans="1:33">
      <c r="A635">
        <v>630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17627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11</v>
      </c>
      <c r="W635" s="22">
        <f t="shared" si="27"/>
        <v>17629</v>
      </c>
      <c r="X635" t="str">
        <f t="shared" si="28"/>
        <v>P</v>
      </c>
      <c r="Y635" s="23">
        <f t="shared" si="29"/>
        <v>0.99988655057008335</v>
      </c>
      <c r="AA635" s="23"/>
    </row>
    <row r="636" spans="1:33">
      <c r="A636">
        <v>631</v>
      </c>
      <c r="B636">
        <v>0</v>
      </c>
      <c r="C636">
        <v>0</v>
      </c>
      <c r="D636">
        <v>0</v>
      </c>
      <c r="E636">
        <v>0</v>
      </c>
      <c r="F636">
        <v>17629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11</v>
      </c>
      <c r="W636" s="22">
        <f t="shared" si="27"/>
        <v>17629</v>
      </c>
      <c r="X636" t="str">
        <f t="shared" si="28"/>
        <v>F</v>
      </c>
      <c r="Y636" s="23">
        <f t="shared" si="29"/>
        <v>1</v>
      </c>
      <c r="AA636" s="23"/>
    </row>
    <row r="637" spans="1:33">
      <c r="A637">
        <v>632</v>
      </c>
      <c r="B637">
        <v>3</v>
      </c>
      <c r="C637">
        <v>0</v>
      </c>
      <c r="D637">
        <v>0</v>
      </c>
      <c r="E637">
        <v>0</v>
      </c>
      <c r="F637">
        <v>0</v>
      </c>
      <c r="G637">
        <v>2</v>
      </c>
      <c r="H637">
        <v>0</v>
      </c>
      <c r="I637">
        <v>1</v>
      </c>
      <c r="J637">
        <v>0</v>
      </c>
      <c r="K637">
        <v>0</v>
      </c>
      <c r="L637">
        <v>2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17624</v>
      </c>
      <c r="T637">
        <v>0</v>
      </c>
      <c r="U637">
        <v>0</v>
      </c>
      <c r="V637">
        <v>11</v>
      </c>
      <c r="W637" s="22">
        <f t="shared" si="27"/>
        <v>17632</v>
      </c>
      <c r="X637" t="str">
        <f t="shared" si="28"/>
        <v>V</v>
      </c>
      <c r="Y637" s="23">
        <f t="shared" si="29"/>
        <v>0.99954627949183306</v>
      </c>
      <c r="AA637" s="23"/>
    </row>
    <row r="638" spans="1:33">
      <c r="A638">
        <v>633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35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46</v>
      </c>
      <c r="N638">
        <v>0</v>
      </c>
      <c r="O638">
        <v>0</v>
      </c>
      <c r="P638">
        <v>0</v>
      </c>
      <c r="Q638">
        <v>17545</v>
      </c>
      <c r="R638">
        <v>2</v>
      </c>
      <c r="S638">
        <v>0</v>
      </c>
      <c r="T638">
        <v>0</v>
      </c>
      <c r="U638">
        <v>0</v>
      </c>
      <c r="V638">
        <v>11</v>
      </c>
      <c r="W638" s="22">
        <f t="shared" si="27"/>
        <v>17628</v>
      </c>
      <c r="X638" t="str">
        <f t="shared" si="28"/>
        <v>S</v>
      </c>
      <c r="Y638" s="23">
        <f t="shared" si="29"/>
        <v>0.99529158157476738</v>
      </c>
      <c r="AA638" s="23"/>
    </row>
    <row r="639" spans="1:33">
      <c r="A639">
        <v>634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17607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17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11</v>
      </c>
      <c r="W639" s="22">
        <f t="shared" si="27"/>
        <v>17626</v>
      </c>
      <c r="X639" t="str">
        <f t="shared" si="28"/>
        <v>H</v>
      </c>
      <c r="Y639" s="23">
        <f t="shared" si="29"/>
        <v>0.99892204697605813</v>
      </c>
      <c r="AA639" s="23"/>
    </row>
    <row r="640" spans="1:33">
      <c r="A640">
        <v>635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17620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11</v>
      </c>
      <c r="W640" s="22">
        <f t="shared" si="27"/>
        <v>17629</v>
      </c>
      <c r="X640" t="str">
        <f t="shared" si="28"/>
        <v>K</v>
      </c>
      <c r="Y640" s="23">
        <f t="shared" si="29"/>
        <v>0.99948947756537521</v>
      </c>
      <c r="AA640" s="23"/>
    </row>
    <row r="641" spans="1:34">
      <c r="A641">
        <v>636</v>
      </c>
      <c r="B641">
        <v>0</v>
      </c>
      <c r="C641">
        <v>0</v>
      </c>
      <c r="D641">
        <v>1</v>
      </c>
      <c r="E641">
        <v>17622</v>
      </c>
      <c r="F641">
        <v>0</v>
      </c>
      <c r="G641">
        <v>7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11</v>
      </c>
      <c r="W641" s="22">
        <f t="shared" si="27"/>
        <v>17631</v>
      </c>
      <c r="X641" t="str">
        <f t="shared" si="28"/>
        <v>E</v>
      </c>
      <c r="Y641" s="23">
        <f t="shared" si="29"/>
        <v>0.99948953547728436</v>
      </c>
      <c r="AA641" s="23"/>
    </row>
    <row r="642" spans="1:34">
      <c r="A642">
        <v>637</v>
      </c>
      <c r="B642">
        <v>0</v>
      </c>
      <c r="C642">
        <v>0</v>
      </c>
      <c r="D642">
        <v>0</v>
      </c>
      <c r="E642">
        <v>0</v>
      </c>
      <c r="F642">
        <v>3</v>
      </c>
      <c r="G642">
        <v>0</v>
      </c>
      <c r="H642">
        <v>0</v>
      </c>
      <c r="I642">
        <v>17567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3</v>
      </c>
      <c r="S642">
        <v>57</v>
      </c>
      <c r="T642">
        <v>0</v>
      </c>
      <c r="U642">
        <v>0</v>
      </c>
      <c r="V642">
        <v>11</v>
      </c>
      <c r="W642" s="22">
        <f t="shared" si="27"/>
        <v>17630</v>
      </c>
      <c r="X642" t="str">
        <f t="shared" si="28"/>
        <v>I</v>
      </c>
      <c r="Y642" s="23">
        <f t="shared" si="29"/>
        <v>0.99642654566080546</v>
      </c>
      <c r="AA642" s="23"/>
    </row>
    <row r="643" spans="1:34">
      <c r="A643">
        <v>638</v>
      </c>
      <c r="B643">
        <v>0</v>
      </c>
      <c r="C643">
        <v>0</v>
      </c>
      <c r="D643">
        <v>17595</v>
      </c>
      <c r="E643">
        <v>15</v>
      </c>
      <c r="F643">
        <v>0</v>
      </c>
      <c r="G643">
        <v>10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8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11</v>
      </c>
      <c r="W643" s="22">
        <f t="shared" si="27"/>
        <v>17628</v>
      </c>
      <c r="X643" t="str">
        <f t="shared" si="28"/>
        <v>D</v>
      </c>
      <c r="Y643" s="23">
        <f t="shared" si="29"/>
        <v>0.99812797821647381</v>
      </c>
      <c r="AA643" s="23"/>
    </row>
    <row r="644" spans="1:34">
      <c r="A644">
        <v>639</v>
      </c>
      <c r="B644">
        <v>0</v>
      </c>
      <c r="C644">
        <v>0</v>
      </c>
      <c r="D644">
        <v>0</v>
      </c>
      <c r="E644">
        <v>0</v>
      </c>
      <c r="F644">
        <v>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17623</v>
      </c>
      <c r="R644">
        <v>0</v>
      </c>
      <c r="S644">
        <v>0</v>
      </c>
      <c r="T644">
        <v>0</v>
      </c>
      <c r="U644">
        <v>4</v>
      </c>
      <c r="V644">
        <v>11</v>
      </c>
      <c r="W644" s="22">
        <f t="shared" si="27"/>
        <v>17630</v>
      </c>
      <c r="X644" t="str">
        <f t="shared" si="28"/>
        <v>S</v>
      </c>
      <c r="Y644" s="23">
        <f t="shared" si="29"/>
        <v>0.99960294951786732</v>
      </c>
      <c r="AA644" s="23"/>
    </row>
    <row r="645" spans="1:34">
      <c r="A645">
        <v>640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48</v>
      </c>
      <c r="J645">
        <v>0</v>
      </c>
      <c r="K645">
        <v>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17578</v>
      </c>
      <c r="T645">
        <v>0</v>
      </c>
      <c r="U645">
        <v>0</v>
      </c>
      <c r="V645">
        <v>11</v>
      </c>
      <c r="W645" s="22">
        <f t="shared" si="27"/>
        <v>17629</v>
      </c>
      <c r="X645" t="str">
        <f t="shared" si="28"/>
        <v>V</v>
      </c>
      <c r="Y645" s="23">
        <f t="shared" si="29"/>
        <v>0.99710703953712632</v>
      </c>
      <c r="AA645" s="23"/>
    </row>
    <row r="646" spans="1:34">
      <c r="A646">
        <v>641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17629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11</v>
      </c>
      <c r="W646" s="22">
        <f t="shared" ref="W646:W709" si="30">SUM(B646:U646)</f>
        <v>17630</v>
      </c>
      <c r="X646" t="str">
        <f t="shared" ref="X646:X709" si="31">INDEX(($B$4:$U$4),MATCH(LARGE(B646:U646,1),B646:U646,0))</f>
        <v>N</v>
      </c>
      <c r="Y646" s="23">
        <f t="shared" ref="Y646:Y709" si="32">(MAX(B646:U646))/W646</f>
        <v>0.99994327850255249</v>
      </c>
      <c r="AA646" s="23"/>
    </row>
    <row r="647" spans="1:34">
      <c r="A647">
        <v>642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17600</v>
      </c>
      <c r="N647">
        <v>0</v>
      </c>
      <c r="O647">
        <v>0</v>
      </c>
      <c r="P647">
        <v>0</v>
      </c>
      <c r="Q647">
        <v>29</v>
      </c>
      <c r="R647">
        <v>0</v>
      </c>
      <c r="S647">
        <v>0</v>
      </c>
      <c r="T647">
        <v>0</v>
      </c>
      <c r="U647">
        <v>0</v>
      </c>
      <c r="V647">
        <v>11</v>
      </c>
      <c r="W647" s="22">
        <f t="shared" si="30"/>
        <v>17631</v>
      </c>
      <c r="X647" t="str">
        <f t="shared" si="31"/>
        <v>N</v>
      </c>
      <c r="Y647" s="23">
        <f t="shared" si="32"/>
        <v>0.99824173331064603</v>
      </c>
      <c r="AA647" s="23"/>
    </row>
    <row r="648" spans="1:34">
      <c r="A648">
        <v>643</v>
      </c>
      <c r="B648">
        <v>17549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77</v>
      </c>
      <c r="S648">
        <v>2</v>
      </c>
      <c r="T648">
        <v>0</v>
      </c>
      <c r="U648">
        <v>0</v>
      </c>
      <c r="V648">
        <v>11</v>
      </c>
      <c r="W648" s="22">
        <f t="shared" si="30"/>
        <v>17629</v>
      </c>
      <c r="X648" t="str">
        <f t="shared" si="31"/>
        <v>A</v>
      </c>
      <c r="Y648" s="23">
        <f t="shared" si="32"/>
        <v>0.9954620228033354</v>
      </c>
      <c r="AA648" s="23"/>
    </row>
    <row r="649" spans="1:34">
      <c r="A649">
        <v>644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17621</v>
      </c>
      <c r="T649">
        <v>0</v>
      </c>
      <c r="U649">
        <v>0</v>
      </c>
      <c r="V649">
        <v>11</v>
      </c>
      <c r="W649" s="22">
        <f t="shared" si="30"/>
        <v>17631</v>
      </c>
      <c r="X649" t="str">
        <f t="shared" si="31"/>
        <v>V</v>
      </c>
      <c r="Y649" s="23">
        <f t="shared" si="32"/>
        <v>0.99943281719698263</v>
      </c>
      <c r="AA649" s="23"/>
    </row>
    <row r="650" spans="1:34">
      <c r="A650">
        <v>645</v>
      </c>
      <c r="B650">
        <v>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39</v>
      </c>
      <c r="J650">
        <v>0</v>
      </c>
      <c r="K650">
        <v>1</v>
      </c>
      <c r="L650">
        <v>17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17566</v>
      </c>
      <c r="T650">
        <v>0</v>
      </c>
      <c r="U650">
        <v>0</v>
      </c>
      <c r="V650">
        <v>11</v>
      </c>
      <c r="W650" s="22">
        <f t="shared" si="30"/>
        <v>17630</v>
      </c>
      <c r="X650" t="str">
        <f t="shared" si="31"/>
        <v>V</v>
      </c>
      <c r="Y650" s="23">
        <f t="shared" si="32"/>
        <v>0.99636982416335795</v>
      </c>
      <c r="AA650" s="23"/>
    </row>
    <row r="651" spans="1:34">
      <c r="A651">
        <v>646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44</v>
      </c>
      <c r="J651">
        <v>0</v>
      </c>
      <c r="K651">
        <v>39</v>
      </c>
      <c r="L651">
        <v>17536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8</v>
      </c>
      <c r="S651">
        <v>3</v>
      </c>
      <c r="T651">
        <v>0</v>
      </c>
      <c r="U651">
        <v>0</v>
      </c>
      <c r="V651">
        <v>11</v>
      </c>
      <c r="W651" s="22">
        <f t="shared" si="30"/>
        <v>17631</v>
      </c>
      <c r="X651" t="str">
        <f t="shared" si="31"/>
        <v>M</v>
      </c>
      <c r="Y651" s="23">
        <f t="shared" si="32"/>
        <v>0.99461176337133461</v>
      </c>
      <c r="AA651" s="23"/>
    </row>
    <row r="652" spans="1:34">
      <c r="A652">
        <v>647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17629</v>
      </c>
      <c r="O652">
        <v>1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11</v>
      </c>
      <c r="W652" s="22">
        <f t="shared" si="30"/>
        <v>17631</v>
      </c>
      <c r="X652" t="str">
        <f t="shared" si="31"/>
        <v>P</v>
      </c>
      <c r="Y652" s="23">
        <f t="shared" si="32"/>
        <v>0.99988656343939653</v>
      </c>
      <c r="AA652" s="23"/>
    </row>
    <row r="653" spans="1:34">
      <c r="A653" s="24">
        <v>648</v>
      </c>
      <c r="B653" s="24">
        <v>17590</v>
      </c>
      <c r="C653" s="24">
        <v>0</v>
      </c>
      <c r="D653" s="24">
        <v>0</v>
      </c>
      <c r="E653" s="24">
        <v>0</v>
      </c>
      <c r="F653" s="24">
        <v>0</v>
      </c>
      <c r="G653" s="24">
        <v>0</v>
      </c>
      <c r="H653" s="24">
        <v>0</v>
      </c>
      <c r="I653" s="24">
        <v>0</v>
      </c>
      <c r="J653" s="24">
        <v>0</v>
      </c>
      <c r="K653" s="24">
        <v>0</v>
      </c>
      <c r="L653" s="24">
        <v>0</v>
      </c>
      <c r="M653" s="24">
        <v>0</v>
      </c>
      <c r="N653" s="24">
        <v>0</v>
      </c>
      <c r="O653" s="24">
        <v>0</v>
      </c>
      <c r="P653" s="24">
        <v>0</v>
      </c>
      <c r="Q653" s="24">
        <v>10</v>
      </c>
      <c r="R653" s="24">
        <v>23</v>
      </c>
      <c r="S653" s="24">
        <v>6</v>
      </c>
      <c r="T653" s="24">
        <v>0</v>
      </c>
      <c r="U653" s="24">
        <v>0</v>
      </c>
      <c r="V653" s="24">
        <v>11</v>
      </c>
      <c r="W653" s="24">
        <f t="shared" si="30"/>
        <v>17629</v>
      </c>
      <c r="X653" s="24" t="str">
        <f t="shared" si="31"/>
        <v>A</v>
      </c>
      <c r="Y653" s="25">
        <f t="shared" si="32"/>
        <v>0.99778773611662597</v>
      </c>
      <c r="Z653" s="24"/>
      <c r="AA653" s="25">
        <f>Q653/W653</f>
        <v>5.6724714958307336E-4</v>
      </c>
      <c r="AB653" s="24"/>
      <c r="AC653" s="24"/>
      <c r="AD653" s="24"/>
      <c r="AE653" s="24"/>
      <c r="AF653" s="24"/>
      <c r="AG653" s="24"/>
      <c r="AH653" s="24"/>
    </row>
    <row r="654" spans="1:34">
      <c r="A654">
        <v>649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17628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11</v>
      </c>
      <c r="W654" s="22">
        <f t="shared" si="30"/>
        <v>17632</v>
      </c>
      <c r="X654" t="str">
        <f t="shared" si="31"/>
        <v>H</v>
      </c>
      <c r="Y654" s="23">
        <f t="shared" si="32"/>
        <v>0.99977313974591653</v>
      </c>
      <c r="AA654" s="23"/>
    </row>
    <row r="655" spans="1:34">
      <c r="A655">
        <v>650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17631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11</v>
      </c>
      <c r="W655" s="22">
        <f t="shared" si="30"/>
        <v>17631</v>
      </c>
      <c r="X655" t="str">
        <f t="shared" si="31"/>
        <v>G</v>
      </c>
      <c r="Y655" s="23">
        <f t="shared" si="32"/>
        <v>1</v>
      </c>
      <c r="AA655" s="23"/>
    </row>
    <row r="656" spans="1:34">
      <c r="A656">
        <v>651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17633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11</v>
      </c>
      <c r="W656" s="22">
        <f t="shared" si="30"/>
        <v>17633</v>
      </c>
      <c r="X656" t="str">
        <f t="shared" si="31"/>
        <v>P</v>
      </c>
      <c r="Y656" s="23">
        <f t="shared" si="32"/>
        <v>1</v>
      </c>
      <c r="AA656" s="23"/>
    </row>
    <row r="657" spans="1:27">
      <c r="A657">
        <v>652</v>
      </c>
      <c r="B657">
        <v>17318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51</v>
      </c>
      <c r="R657">
        <v>106</v>
      </c>
      <c r="S657">
        <v>156</v>
      </c>
      <c r="T657">
        <v>0</v>
      </c>
      <c r="U657">
        <v>0</v>
      </c>
      <c r="V657">
        <v>11</v>
      </c>
      <c r="W657" s="22">
        <f t="shared" si="30"/>
        <v>17631</v>
      </c>
      <c r="X657" t="str">
        <f t="shared" si="31"/>
        <v>A</v>
      </c>
      <c r="Y657" s="23">
        <f t="shared" si="32"/>
        <v>0.98224717826555497</v>
      </c>
      <c r="AA657" s="23"/>
    </row>
    <row r="658" spans="1:27">
      <c r="A658">
        <v>653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17627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11</v>
      </c>
      <c r="W658" s="22">
        <f t="shared" si="30"/>
        <v>17632</v>
      </c>
      <c r="X658" t="str">
        <f t="shared" si="31"/>
        <v>K</v>
      </c>
      <c r="Y658" s="23">
        <f t="shared" si="32"/>
        <v>0.99971642468239563</v>
      </c>
      <c r="AA658" s="23"/>
    </row>
    <row r="659" spans="1:27">
      <c r="A659">
        <v>654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3</v>
      </c>
      <c r="H659">
        <v>0</v>
      </c>
      <c r="I659">
        <v>32</v>
      </c>
      <c r="J659">
        <v>0</v>
      </c>
      <c r="K659">
        <v>0</v>
      </c>
      <c r="L659">
        <v>0</v>
      </c>
      <c r="M659">
        <v>55</v>
      </c>
      <c r="N659">
        <v>0</v>
      </c>
      <c r="O659">
        <v>0</v>
      </c>
      <c r="P659">
        <v>3</v>
      </c>
      <c r="Q659">
        <v>17532</v>
      </c>
      <c r="R659">
        <v>1</v>
      </c>
      <c r="S659">
        <v>0</v>
      </c>
      <c r="T659">
        <v>0</v>
      </c>
      <c r="U659">
        <v>0</v>
      </c>
      <c r="V659">
        <v>11</v>
      </c>
      <c r="W659" s="22">
        <f t="shared" si="30"/>
        <v>17627</v>
      </c>
      <c r="X659" t="str">
        <f t="shared" si="31"/>
        <v>S</v>
      </c>
      <c r="Y659" s="23">
        <f t="shared" si="32"/>
        <v>0.9946105406478698</v>
      </c>
      <c r="AA659" s="23"/>
    </row>
    <row r="660" spans="1:27">
      <c r="A660">
        <v>655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12</v>
      </c>
      <c r="J660">
        <v>0</v>
      </c>
      <c r="K660">
        <v>128</v>
      </c>
      <c r="L660">
        <v>17476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5</v>
      </c>
      <c r="S660">
        <v>10</v>
      </c>
      <c r="T660">
        <v>0</v>
      </c>
      <c r="U660">
        <v>0</v>
      </c>
      <c r="V660">
        <v>11</v>
      </c>
      <c r="W660" s="22">
        <f t="shared" si="30"/>
        <v>17631</v>
      </c>
      <c r="X660" t="str">
        <f t="shared" si="31"/>
        <v>M</v>
      </c>
      <c r="Y660" s="23">
        <f t="shared" si="32"/>
        <v>0.99120866655323014</v>
      </c>
      <c r="AA660" s="23"/>
    </row>
    <row r="661" spans="1:27">
      <c r="A661">
        <v>656</v>
      </c>
      <c r="B661">
        <v>0</v>
      </c>
      <c r="C661">
        <v>0</v>
      </c>
      <c r="D661">
        <v>3</v>
      </c>
      <c r="E661">
        <v>17625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11</v>
      </c>
      <c r="W661" s="22">
        <f t="shared" si="30"/>
        <v>17630</v>
      </c>
      <c r="X661" t="str">
        <f t="shared" si="31"/>
        <v>E</v>
      </c>
      <c r="Y661" s="23">
        <f t="shared" si="32"/>
        <v>0.99971639251276234</v>
      </c>
      <c r="AA661" s="23"/>
    </row>
    <row r="662" spans="1:27">
      <c r="A662">
        <v>657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17632</v>
      </c>
      <c r="V662">
        <v>11</v>
      </c>
      <c r="W662" s="22">
        <f t="shared" si="30"/>
        <v>17632</v>
      </c>
      <c r="X662" t="str">
        <f t="shared" si="31"/>
        <v>Y</v>
      </c>
      <c r="Y662" s="23">
        <f t="shared" si="32"/>
        <v>1</v>
      </c>
      <c r="AA662" s="23"/>
    </row>
    <row r="663" spans="1:27">
      <c r="A663">
        <v>658</v>
      </c>
      <c r="B663">
        <v>0</v>
      </c>
      <c r="C663">
        <v>0</v>
      </c>
      <c r="D663">
        <v>17625</v>
      </c>
      <c r="E663">
        <v>4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11</v>
      </c>
      <c r="W663" s="22">
        <f t="shared" si="30"/>
        <v>17630</v>
      </c>
      <c r="X663" t="str">
        <f t="shared" si="31"/>
        <v>D</v>
      </c>
      <c r="Y663" s="23">
        <f t="shared" si="32"/>
        <v>0.99971639251276234</v>
      </c>
      <c r="AA663" s="23"/>
    </row>
    <row r="664" spans="1:27">
      <c r="A664">
        <v>659</v>
      </c>
      <c r="B664">
        <v>17627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11</v>
      </c>
      <c r="W664" s="22">
        <f t="shared" si="30"/>
        <v>17628</v>
      </c>
      <c r="X664" t="str">
        <f t="shared" si="31"/>
        <v>A</v>
      </c>
      <c r="Y664" s="23">
        <f t="shared" si="32"/>
        <v>0.99994327206716582</v>
      </c>
      <c r="AA664" s="23"/>
    </row>
    <row r="665" spans="1:27">
      <c r="A665">
        <v>660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21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17608</v>
      </c>
      <c r="T665">
        <v>0</v>
      </c>
      <c r="U665">
        <v>0</v>
      </c>
      <c r="V665">
        <v>11</v>
      </c>
      <c r="W665" s="22">
        <f t="shared" si="30"/>
        <v>17630</v>
      </c>
      <c r="X665" t="str">
        <f t="shared" si="31"/>
        <v>V</v>
      </c>
      <c r="Y665" s="23">
        <f t="shared" si="32"/>
        <v>0.99875212705615424</v>
      </c>
      <c r="AA665" s="23"/>
    </row>
    <row r="666" spans="1:27">
      <c r="A666">
        <v>661</v>
      </c>
      <c r="B666">
        <v>17613</v>
      </c>
      <c r="C666">
        <v>0</v>
      </c>
      <c r="D666">
        <v>0</v>
      </c>
      <c r="E666">
        <v>0</v>
      </c>
      <c r="F666">
        <v>0</v>
      </c>
      <c r="G666">
        <v>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8</v>
      </c>
      <c r="S666">
        <v>1</v>
      </c>
      <c r="T666">
        <v>0</v>
      </c>
      <c r="U666">
        <v>0</v>
      </c>
      <c r="V666">
        <v>11</v>
      </c>
      <c r="W666" s="22">
        <f t="shared" si="30"/>
        <v>17629</v>
      </c>
      <c r="X666" t="str">
        <f t="shared" si="31"/>
        <v>A</v>
      </c>
      <c r="Y666" s="23">
        <f t="shared" si="32"/>
        <v>0.99909240456066706</v>
      </c>
      <c r="AA666" s="23"/>
    </row>
    <row r="667" spans="1:27">
      <c r="A667">
        <v>662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1</v>
      </c>
      <c r="R667">
        <v>17626</v>
      </c>
      <c r="S667">
        <v>0</v>
      </c>
      <c r="T667">
        <v>0</v>
      </c>
      <c r="U667">
        <v>0</v>
      </c>
      <c r="V667">
        <v>11</v>
      </c>
      <c r="W667" s="22">
        <f t="shared" si="30"/>
        <v>17628</v>
      </c>
      <c r="X667" t="str">
        <f t="shared" si="31"/>
        <v>T</v>
      </c>
      <c r="Y667" s="23">
        <f t="shared" si="32"/>
        <v>0.99988654413433176</v>
      </c>
      <c r="AA667" s="23"/>
    </row>
    <row r="668" spans="1:27">
      <c r="A668">
        <v>663</v>
      </c>
      <c r="B668">
        <v>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17626</v>
      </c>
      <c r="S668">
        <v>0</v>
      </c>
      <c r="T668">
        <v>0</v>
      </c>
      <c r="U668">
        <v>0</v>
      </c>
      <c r="V668">
        <v>11</v>
      </c>
      <c r="W668" s="22">
        <f t="shared" si="30"/>
        <v>17632</v>
      </c>
      <c r="X668" t="str">
        <f t="shared" si="31"/>
        <v>T</v>
      </c>
      <c r="Y668" s="23">
        <f t="shared" si="32"/>
        <v>0.99965970961887474</v>
      </c>
      <c r="AA668" s="23"/>
    </row>
    <row r="669" spans="1:27">
      <c r="A669">
        <v>664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17631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11</v>
      </c>
      <c r="W669" s="22">
        <f t="shared" si="30"/>
        <v>17631</v>
      </c>
      <c r="X669" t="str">
        <f t="shared" si="31"/>
        <v>H</v>
      </c>
      <c r="Y669" s="23">
        <f t="shared" si="32"/>
        <v>1</v>
      </c>
      <c r="AA669" s="23"/>
    </row>
    <row r="670" spans="1:27">
      <c r="A670">
        <v>665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17631</v>
      </c>
      <c r="R670">
        <v>0</v>
      </c>
      <c r="S670">
        <v>0</v>
      </c>
      <c r="T670">
        <v>0</v>
      </c>
      <c r="U670">
        <v>0</v>
      </c>
      <c r="V670">
        <v>11</v>
      </c>
      <c r="W670" s="22">
        <f t="shared" si="30"/>
        <v>17631</v>
      </c>
      <c r="X670" t="str">
        <f t="shared" si="31"/>
        <v>S</v>
      </c>
      <c r="Y670" s="23">
        <f t="shared" si="32"/>
        <v>1</v>
      </c>
      <c r="AA670" s="23"/>
    </row>
    <row r="671" spans="1:27">
      <c r="A671">
        <v>666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17633</v>
      </c>
      <c r="U671">
        <v>0</v>
      </c>
      <c r="V671">
        <v>11</v>
      </c>
      <c r="W671" s="22">
        <f t="shared" si="30"/>
        <v>17633</v>
      </c>
      <c r="X671" t="str">
        <f t="shared" si="31"/>
        <v>W</v>
      </c>
      <c r="Y671" s="23">
        <f t="shared" si="32"/>
        <v>1</v>
      </c>
      <c r="AA671" s="23"/>
    </row>
    <row r="672" spans="1:27">
      <c r="A672">
        <v>667</v>
      </c>
      <c r="B672">
        <v>0</v>
      </c>
      <c r="C672">
        <v>0</v>
      </c>
      <c r="D672">
        <v>0</v>
      </c>
      <c r="E672">
        <v>0</v>
      </c>
      <c r="F672">
        <v>4</v>
      </c>
      <c r="G672">
        <v>0</v>
      </c>
      <c r="H672">
        <v>0</v>
      </c>
      <c r="I672">
        <v>17557</v>
      </c>
      <c r="J672">
        <v>0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0</v>
      </c>
      <c r="Q672">
        <v>4</v>
      </c>
      <c r="R672">
        <v>36</v>
      </c>
      <c r="S672">
        <v>25</v>
      </c>
      <c r="T672">
        <v>0</v>
      </c>
      <c r="U672">
        <v>0</v>
      </c>
      <c r="V672">
        <v>11</v>
      </c>
      <c r="W672" s="22">
        <f t="shared" si="30"/>
        <v>17628</v>
      </c>
      <c r="X672" t="str">
        <f t="shared" si="31"/>
        <v>I</v>
      </c>
      <c r="Y672" s="23">
        <f t="shared" si="32"/>
        <v>0.99597231676877696</v>
      </c>
      <c r="AA672" s="23"/>
    </row>
    <row r="673" spans="1:27">
      <c r="A673">
        <v>668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17615</v>
      </c>
      <c r="O673">
        <v>0</v>
      </c>
      <c r="P673">
        <v>0</v>
      </c>
      <c r="Q673">
        <v>12</v>
      </c>
      <c r="R673">
        <v>2</v>
      </c>
      <c r="S673">
        <v>0</v>
      </c>
      <c r="T673">
        <v>0</v>
      </c>
      <c r="U673">
        <v>0</v>
      </c>
      <c r="V673">
        <v>11</v>
      </c>
      <c r="W673" s="22">
        <f t="shared" si="30"/>
        <v>17629</v>
      </c>
      <c r="X673" t="str">
        <f t="shared" si="31"/>
        <v>P</v>
      </c>
      <c r="Y673" s="23">
        <f t="shared" si="32"/>
        <v>0.9992058539905837</v>
      </c>
      <c r="AA673" s="23"/>
    </row>
    <row r="674" spans="1:27">
      <c r="A674">
        <v>669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17613</v>
      </c>
      <c r="K674">
        <v>0</v>
      </c>
      <c r="L674">
        <v>0</v>
      </c>
      <c r="M674">
        <v>2</v>
      </c>
      <c r="N674">
        <v>0</v>
      </c>
      <c r="O674">
        <v>0</v>
      </c>
      <c r="P674">
        <v>7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11</v>
      </c>
      <c r="W674" s="22">
        <f t="shared" si="30"/>
        <v>17623</v>
      </c>
      <c r="X674" t="str">
        <f t="shared" si="31"/>
        <v>K</v>
      </c>
      <c r="Y674" s="23">
        <f t="shared" si="32"/>
        <v>0.9994325597230892</v>
      </c>
      <c r="AA674" s="23"/>
    </row>
    <row r="675" spans="1:27">
      <c r="A675">
        <v>670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17620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10</v>
      </c>
      <c r="W675" s="22">
        <f t="shared" si="30"/>
        <v>17622</v>
      </c>
      <c r="X675" t="str">
        <f t="shared" si="31"/>
        <v>R</v>
      </c>
      <c r="Y675" s="23">
        <f t="shared" si="32"/>
        <v>0.99988650550448299</v>
      </c>
      <c r="AA675" s="23"/>
    </row>
    <row r="676" spans="1:27">
      <c r="A676">
        <v>671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17624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10</v>
      </c>
      <c r="W676" s="22">
        <f t="shared" si="30"/>
        <v>17624</v>
      </c>
      <c r="X676" t="str">
        <f t="shared" si="31"/>
        <v>N</v>
      </c>
      <c r="Y676" s="23">
        <f t="shared" si="32"/>
        <v>1</v>
      </c>
      <c r="AA676" s="23"/>
    </row>
    <row r="677" spans="1:27">
      <c r="A677">
        <v>672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17632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10</v>
      </c>
      <c r="W677" s="22">
        <f t="shared" si="30"/>
        <v>17632</v>
      </c>
      <c r="X677" t="str">
        <f t="shared" si="31"/>
        <v>R</v>
      </c>
      <c r="Y677" s="23">
        <f t="shared" si="32"/>
        <v>1</v>
      </c>
      <c r="AA677" s="23"/>
    </row>
    <row r="678" spans="1:27">
      <c r="A678">
        <v>673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17629</v>
      </c>
      <c r="R678">
        <v>0</v>
      </c>
      <c r="S678">
        <v>0</v>
      </c>
      <c r="T678">
        <v>0</v>
      </c>
      <c r="U678">
        <v>0</v>
      </c>
      <c r="V678">
        <v>10</v>
      </c>
      <c r="W678" s="22">
        <f t="shared" si="30"/>
        <v>17629</v>
      </c>
      <c r="X678" t="str">
        <f t="shared" si="31"/>
        <v>S</v>
      </c>
      <c r="Y678" s="23">
        <f t="shared" si="32"/>
        <v>1</v>
      </c>
      <c r="AA678" s="23"/>
    </row>
    <row r="679" spans="1:27">
      <c r="A679">
        <v>674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17622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8</v>
      </c>
      <c r="T679">
        <v>0</v>
      </c>
      <c r="U679">
        <v>0</v>
      </c>
      <c r="V679">
        <v>11</v>
      </c>
      <c r="W679" s="22">
        <f t="shared" si="30"/>
        <v>17630</v>
      </c>
      <c r="X679" t="str">
        <f t="shared" si="31"/>
        <v>I</v>
      </c>
      <c r="Y679" s="23">
        <f t="shared" si="32"/>
        <v>0.9995462280204197</v>
      </c>
      <c r="AA679" s="23"/>
    </row>
    <row r="680" spans="1:27">
      <c r="A680">
        <v>675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17630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11</v>
      </c>
      <c r="W680" s="22">
        <f t="shared" si="30"/>
        <v>17630</v>
      </c>
      <c r="X680" t="str">
        <f t="shared" si="31"/>
        <v>L</v>
      </c>
      <c r="Y680" s="23">
        <f t="shared" si="32"/>
        <v>1</v>
      </c>
      <c r="AA680" s="23"/>
    </row>
    <row r="681" spans="1:27">
      <c r="A681">
        <v>676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17630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10</v>
      </c>
      <c r="W681" s="22">
        <f t="shared" si="30"/>
        <v>17630</v>
      </c>
      <c r="X681" t="str">
        <f t="shared" si="31"/>
        <v>N</v>
      </c>
      <c r="Y681" s="23">
        <f t="shared" si="32"/>
        <v>1</v>
      </c>
      <c r="AA681" s="23"/>
    </row>
    <row r="682" spans="1:27">
      <c r="A682">
        <v>677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17632</v>
      </c>
      <c r="S682">
        <v>0</v>
      </c>
      <c r="T682">
        <v>0</v>
      </c>
      <c r="U682">
        <v>0</v>
      </c>
      <c r="V682">
        <v>10</v>
      </c>
      <c r="W682" s="22">
        <f t="shared" si="30"/>
        <v>17632</v>
      </c>
      <c r="X682" t="str">
        <f t="shared" si="31"/>
        <v>T</v>
      </c>
      <c r="Y682" s="23">
        <f t="shared" si="32"/>
        <v>1</v>
      </c>
      <c r="AA682" s="23"/>
    </row>
    <row r="683" spans="1:27">
      <c r="A683">
        <v>678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12</v>
      </c>
      <c r="N683">
        <v>0</v>
      </c>
      <c r="O683">
        <v>0</v>
      </c>
      <c r="P683">
        <v>2</v>
      </c>
      <c r="Q683">
        <v>17615</v>
      </c>
      <c r="R683">
        <v>1</v>
      </c>
      <c r="S683">
        <v>0</v>
      </c>
      <c r="T683">
        <v>0</v>
      </c>
      <c r="U683">
        <v>0</v>
      </c>
      <c r="V683">
        <v>10</v>
      </c>
      <c r="W683" s="22">
        <f t="shared" si="30"/>
        <v>17632</v>
      </c>
      <c r="X683" t="str">
        <f t="shared" si="31"/>
        <v>S</v>
      </c>
      <c r="Y683" s="23">
        <f t="shared" si="32"/>
        <v>0.99903584392014522</v>
      </c>
      <c r="AA683" s="23"/>
    </row>
    <row r="684" spans="1:27">
      <c r="A684">
        <v>679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17628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10</v>
      </c>
      <c r="W684" s="22">
        <f t="shared" si="30"/>
        <v>17631</v>
      </c>
      <c r="X684" t="str">
        <f t="shared" si="31"/>
        <v>Q</v>
      </c>
      <c r="Y684" s="23">
        <f t="shared" si="32"/>
        <v>0.99982984515909479</v>
      </c>
      <c r="AA684" s="23"/>
    </row>
    <row r="685" spans="1:27">
      <c r="A685">
        <v>680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23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17609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10</v>
      </c>
      <c r="W685" s="22">
        <f t="shared" si="30"/>
        <v>17632</v>
      </c>
      <c r="X685" t="str">
        <f t="shared" si="31"/>
        <v>R</v>
      </c>
      <c r="Y685" s="23">
        <f t="shared" si="32"/>
        <v>0.99869555353901995</v>
      </c>
      <c r="AA685" s="23"/>
    </row>
    <row r="686" spans="1:27">
      <c r="A686">
        <v>681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17633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10</v>
      </c>
      <c r="W686" s="22">
        <f t="shared" si="30"/>
        <v>17633</v>
      </c>
      <c r="X686" t="str">
        <f t="shared" si="31"/>
        <v>G</v>
      </c>
      <c r="Y686" s="23">
        <f t="shared" si="32"/>
        <v>1</v>
      </c>
      <c r="AA686" s="23"/>
    </row>
    <row r="687" spans="1:27">
      <c r="A687">
        <v>682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17625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6</v>
      </c>
      <c r="T687">
        <v>0</v>
      </c>
      <c r="U687">
        <v>0</v>
      </c>
      <c r="V687">
        <v>10</v>
      </c>
      <c r="W687" s="22">
        <f t="shared" si="30"/>
        <v>17631</v>
      </c>
      <c r="X687" t="str">
        <f t="shared" si="31"/>
        <v>I</v>
      </c>
      <c r="Y687" s="23">
        <f t="shared" si="32"/>
        <v>0.99965969031818958</v>
      </c>
      <c r="AA687" s="23"/>
    </row>
    <row r="688" spans="1:27">
      <c r="A688">
        <v>683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3</v>
      </c>
      <c r="J688">
        <v>0</v>
      </c>
      <c r="K688">
        <v>17626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10</v>
      </c>
      <c r="W688" s="22">
        <f t="shared" si="30"/>
        <v>17630</v>
      </c>
      <c r="X688" t="str">
        <f t="shared" si="31"/>
        <v>L</v>
      </c>
      <c r="Y688" s="23">
        <f t="shared" si="32"/>
        <v>0.99977311401020985</v>
      </c>
      <c r="AA688" s="23"/>
    </row>
    <row r="689" spans="1:27">
      <c r="A689">
        <v>684</v>
      </c>
      <c r="B689">
        <v>0</v>
      </c>
      <c r="C689">
        <v>0</v>
      </c>
      <c r="D689">
        <v>0</v>
      </c>
      <c r="E689">
        <v>17622</v>
      </c>
      <c r="F689">
        <v>0</v>
      </c>
      <c r="G689">
        <v>0</v>
      </c>
      <c r="H689">
        <v>0</v>
      </c>
      <c r="I689">
        <v>0</v>
      </c>
      <c r="J689">
        <v>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10</v>
      </c>
      <c r="W689" s="22">
        <f t="shared" si="30"/>
        <v>17628</v>
      </c>
      <c r="X689" t="str">
        <f t="shared" si="31"/>
        <v>E</v>
      </c>
      <c r="Y689" s="23">
        <f t="shared" si="32"/>
        <v>0.99965963240299527</v>
      </c>
      <c r="AA689" s="23"/>
    </row>
    <row r="690" spans="1:27">
      <c r="A690">
        <v>685</v>
      </c>
      <c r="B690">
        <v>0</v>
      </c>
      <c r="C690">
        <v>0</v>
      </c>
      <c r="D690">
        <v>17634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10</v>
      </c>
      <c r="W690" s="22">
        <f t="shared" si="30"/>
        <v>17634</v>
      </c>
      <c r="X690" t="str">
        <f t="shared" si="31"/>
        <v>D</v>
      </c>
      <c r="Y690" s="23">
        <f t="shared" si="32"/>
        <v>1</v>
      </c>
      <c r="AA690" s="23"/>
    </row>
    <row r="691" spans="1:27">
      <c r="A691">
        <v>686</v>
      </c>
      <c r="B691">
        <v>0</v>
      </c>
      <c r="C691">
        <v>0</v>
      </c>
      <c r="D691">
        <v>0</v>
      </c>
      <c r="E691">
        <v>17632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10</v>
      </c>
      <c r="W691" s="22">
        <f t="shared" si="30"/>
        <v>17632</v>
      </c>
      <c r="X691" t="str">
        <f t="shared" si="31"/>
        <v>E</v>
      </c>
      <c r="Y691" s="23">
        <f t="shared" si="32"/>
        <v>1</v>
      </c>
      <c r="AA691" s="23"/>
    </row>
    <row r="692" spans="1:27">
      <c r="A692">
        <v>687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24</v>
      </c>
      <c r="I692">
        <v>0</v>
      </c>
      <c r="J692">
        <v>4</v>
      </c>
      <c r="K692">
        <v>11</v>
      </c>
      <c r="L692">
        <v>0</v>
      </c>
      <c r="M692">
        <v>0</v>
      </c>
      <c r="N692">
        <v>0</v>
      </c>
      <c r="O692">
        <v>17587</v>
      </c>
      <c r="P692">
        <v>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10</v>
      </c>
      <c r="W692" s="22">
        <f t="shared" si="30"/>
        <v>17628</v>
      </c>
      <c r="X692" t="str">
        <f t="shared" si="31"/>
        <v>Q</v>
      </c>
      <c r="Y692" s="23">
        <f t="shared" si="32"/>
        <v>0.99767415475380072</v>
      </c>
      <c r="AA692" s="23"/>
    </row>
    <row r="693" spans="1:27">
      <c r="A693">
        <v>688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8</v>
      </c>
      <c r="J693">
        <v>0</v>
      </c>
      <c r="K693">
        <v>0</v>
      </c>
      <c r="L693">
        <v>17620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4</v>
      </c>
      <c r="T693">
        <v>0</v>
      </c>
      <c r="U693">
        <v>0</v>
      </c>
      <c r="V693">
        <v>10</v>
      </c>
      <c r="W693" s="22">
        <f t="shared" si="30"/>
        <v>17632</v>
      </c>
      <c r="X693" t="str">
        <f t="shared" si="31"/>
        <v>M</v>
      </c>
      <c r="Y693" s="23">
        <f t="shared" si="32"/>
        <v>0.99931941923774958</v>
      </c>
      <c r="AA693" s="23"/>
    </row>
    <row r="694" spans="1:27">
      <c r="A694">
        <v>689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4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17623</v>
      </c>
      <c r="V694">
        <v>9</v>
      </c>
      <c r="W694" s="22">
        <f t="shared" si="30"/>
        <v>17627</v>
      </c>
      <c r="X694" t="str">
        <f t="shared" si="31"/>
        <v>Y</v>
      </c>
      <c r="Y694" s="23">
        <f t="shared" si="32"/>
        <v>0.99977307539569982</v>
      </c>
      <c r="AA694" s="23"/>
    </row>
    <row r="695" spans="1:27">
      <c r="A695">
        <v>690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17627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9</v>
      </c>
      <c r="W695" s="22">
        <f t="shared" si="30"/>
        <v>17629</v>
      </c>
      <c r="X695" t="str">
        <f t="shared" si="31"/>
        <v>Q</v>
      </c>
      <c r="Y695" s="23">
        <f t="shared" si="32"/>
        <v>0.99988655057008335</v>
      </c>
      <c r="AA695" s="23"/>
    </row>
    <row r="696" spans="1:27">
      <c r="A696">
        <v>691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17624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11</v>
      </c>
      <c r="W696" s="22">
        <f t="shared" si="30"/>
        <v>17629</v>
      </c>
      <c r="X696" t="str">
        <f t="shared" si="31"/>
        <v>K</v>
      </c>
      <c r="Y696" s="23">
        <f t="shared" si="32"/>
        <v>0.9997163764252085</v>
      </c>
      <c r="AA696" s="23"/>
    </row>
    <row r="697" spans="1:27">
      <c r="A697">
        <v>692</v>
      </c>
      <c r="B697">
        <v>0</v>
      </c>
      <c r="C697">
        <v>17583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11</v>
      </c>
      <c r="W697" s="22">
        <f t="shared" si="30"/>
        <v>17584</v>
      </c>
      <c r="X697" t="str">
        <f t="shared" si="31"/>
        <v>C</v>
      </c>
      <c r="Y697" s="23">
        <f t="shared" si="32"/>
        <v>0.99994313011828939</v>
      </c>
      <c r="AA697" s="23"/>
    </row>
    <row r="698" spans="1:27">
      <c r="A698">
        <v>693</v>
      </c>
      <c r="B698">
        <v>0</v>
      </c>
      <c r="C698">
        <v>17628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</v>
      </c>
      <c r="V698">
        <v>12</v>
      </c>
      <c r="W698" s="22">
        <f t="shared" si="30"/>
        <v>17631</v>
      </c>
      <c r="X698" t="str">
        <f t="shared" si="31"/>
        <v>C</v>
      </c>
      <c r="Y698" s="23">
        <f t="shared" si="32"/>
        <v>0.99982984515909479</v>
      </c>
      <c r="AA698" s="23"/>
    </row>
    <row r="699" spans="1:27">
      <c r="A699">
        <v>694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5</v>
      </c>
      <c r="I699">
        <v>2</v>
      </c>
      <c r="J699">
        <v>1</v>
      </c>
      <c r="K699">
        <v>0</v>
      </c>
      <c r="L699">
        <v>0</v>
      </c>
      <c r="M699">
        <v>17578</v>
      </c>
      <c r="N699">
        <v>0</v>
      </c>
      <c r="O699">
        <v>0</v>
      </c>
      <c r="P699">
        <v>0</v>
      </c>
      <c r="Q699">
        <v>28</v>
      </c>
      <c r="R699">
        <v>4</v>
      </c>
      <c r="S699">
        <v>0</v>
      </c>
      <c r="T699">
        <v>0</v>
      </c>
      <c r="U699">
        <v>11</v>
      </c>
      <c r="V699">
        <v>12</v>
      </c>
      <c r="W699" s="22">
        <f t="shared" si="30"/>
        <v>17629</v>
      </c>
      <c r="X699" t="str">
        <f t="shared" si="31"/>
        <v>N</v>
      </c>
      <c r="Y699" s="23">
        <f t="shared" si="32"/>
        <v>0.99710703953712632</v>
      </c>
      <c r="AA699" s="23"/>
    </row>
    <row r="700" spans="1:27">
      <c r="A700">
        <v>695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17607</v>
      </c>
      <c r="L700">
        <v>0</v>
      </c>
      <c r="M700">
        <v>0</v>
      </c>
      <c r="N700">
        <v>0</v>
      </c>
      <c r="O700">
        <v>3</v>
      </c>
      <c r="P700">
        <v>0</v>
      </c>
      <c r="Q700">
        <v>4</v>
      </c>
      <c r="R700">
        <v>0</v>
      </c>
      <c r="S700">
        <v>1</v>
      </c>
      <c r="T700">
        <v>0</v>
      </c>
      <c r="U700">
        <v>0</v>
      </c>
      <c r="V700">
        <v>11</v>
      </c>
      <c r="W700" s="22">
        <f t="shared" si="30"/>
        <v>17616</v>
      </c>
      <c r="X700" t="str">
        <f t="shared" si="31"/>
        <v>L</v>
      </c>
      <c r="Y700" s="23">
        <f t="shared" si="32"/>
        <v>0.99948910081743869</v>
      </c>
      <c r="AA700" s="23"/>
    </row>
    <row r="701" spans="1:27">
      <c r="A701">
        <v>696</v>
      </c>
      <c r="B701">
        <v>0</v>
      </c>
      <c r="C701">
        <v>0</v>
      </c>
      <c r="D701">
        <v>0</v>
      </c>
      <c r="E701">
        <v>0</v>
      </c>
      <c r="F701">
        <v>17629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11</v>
      </c>
      <c r="W701" s="22">
        <f t="shared" si="30"/>
        <v>17629</v>
      </c>
      <c r="X701" t="str">
        <f t="shared" si="31"/>
        <v>F</v>
      </c>
      <c r="Y701" s="23">
        <f t="shared" si="32"/>
        <v>1</v>
      </c>
      <c r="AA701" s="23"/>
    </row>
    <row r="702" spans="1:27">
      <c r="A702">
        <v>697</v>
      </c>
      <c r="B702">
        <v>0</v>
      </c>
      <c r="C702">
        <v>0</v>
      </c>
      <c r="D702">
        <v>3</v>
      </c>
      <c r="E702">
        <v>17622</v>
      </c>
      <c r="F702">
        <v>0</v>
      </c>
      <c r="G702">
        <v>1</v>
      </c>
      <c r="H702">
        <v>0</v>
      </c>
      <c r="I702">
        <v>0</v>
      </c>
      <c r="J702">
        <v>3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11</v>
      </c>
      <c r="W702" s="22">
        <f t="shared" si="30"/>
        <v>17629</v>
      </c>
      <c r="X702" t="str">
        <f t="shared" si="31"/>
        <v>E</v>
      </c>
      <c r="Y702" s="23">
        <f t="shared" si="32"/>
        <v>0.99960292699529185</v>
      </c>
      <c r="AA702" s="23"/>
    </row>
    <row r="703" spans="1:27">
      <c r="A703">
        <v>698</v>
      </c>
      <c r="B703">
        <v>0</v>
      </c>
      <c r="C703">
        <v>0</v>
      </c>
      <c r="D703">
        <v>0</v>
      </c>
      <c r="E703">
        <v>3</v>
      </c>
      <c r="F703">
        <v>0</v>
      </c>
      <c r="G703">
        <v>0</v>
      </c>
      <c r="H703">
        <v>0</v>
      </c>
      <c r="I703">
        <v>0</v>
      </c>
      <c r="J703">
        <v>17595</v>
      </c>
      <c r="K703">
        <v>0</v>
      </c>
      <c r="L703">
        <v>0</v>
      </c>
      <c r="M703">
        <v>8</v>
      </c>
      <c r="N703">
        <v>0</v>
      </c>
      <c r="O703">
        <v>0</v>
      </c>
      <c r="P703">
        <v>23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11</v>
      </c>
      <c r="W703" s="22">
        <f t="shared" si="30"/>
        <v>17629</v>
      </c>
      <c r="X703" t="str">
        <f t="shared" si="31"/>
        <v>K</v>
      </c>
      <c r="Y703" s="23">
        <f t="shared" si="32"/>
        <v>0.99807135969141758</v>
      </c>
      <c r="AA703" s="23"/>
    </row>
    <row r="704" spans="1:27">
      <c r="A704">
        <v>699</v>
      </c>
      <c r="B704">
        <v>0</v>
      </c>
      <c r="C704">
        <v>0</v>
      </c>
      <c r="D704">
        <v>0</v>
      </c>
      <c r="E704">
        <v>0</v>
      </c>
      <c r="F704">
        <v>17631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12</v>
      </c>
      <c r="W704" s="22">
        <f t="shared" si="30"/>
        <v>17631</v>
      </c>
      <c r="X704" t="str">
        <f t="shared" si="31"/>
        <v>F</v>
      </c>
      <c r="Y704" s="23">
        <f t="shared" si="32"/>
        <v>1</v>
      </c>
      <c r="AA704" s="23"/>
    </row>
    <row r="705" spans="1:27">
      <c r="A705">
        <v>700</v>
      </c>
      <c r="B705">
        <v>0</v>
      </c>
      <c r="C705">
        <v>0</v>
      </c>
      <c r="D705">
        <v>0</v>
      </c>
      <c r="E705">
        <v>0</v>
      </c>
      <c r="F705">
        <v>17626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12</v>
      </c>
      <c r="W705" s="22">
        <f t="shared" si="30"/>
        <v>17627</v>
      </c>
      <c r="X705" t="str">
        <f t="shared" si="31"/>
        <v>F</v>
      </c>
      <c r="Y705" s="23">
        <f t="shared" si="32"/>
        <v>0.99994326884892493</v>
      </c>
      <c r="AA705" s="23"/>
    </row>
    <row r="706" spans="1:27">
      <c r="A706">
        <v>701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17624</v>
      </c>
      <c r="O706">
        <v>0</v>
      </c>
      <c r="P706">
        <v>0</v>
      </c>
      <c r="Q706">
        <v>2</v>
      </c>
      <c r="R706">
        <v>0</v>
      </c>
      <c r="S706">
        <v>0</v>
      </c>
      <c r="T706">
        <v>0</v>
      </c>
      <c r="U706">
        <v>0</v>
      </c>
      <c r="V706">
        <v>12</v>
      </c>
      <c r="W706" s="22">
        <f t="shared" si="30"/>
        <v>17628</v>
      </c>
      <c r="X706" t="str">
        <f t="shared" si="31"/>
        <v>P</v>
      </c>
      <c r="Y706" s="23">
        <f t="shared" si="32"/>
        <v>0.99977308826866351</v>
      </c>
      <c r="AA706" s="23"/>
    </row>
    <row r="707" spans="1:27">
      <c r="A707">
        <v>702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17627</v>
      </c>
      <c r="R707">
        <v>0</v>
      </c>
      <c r="S707">
        <v>0</v>
      </c>
      <c r="T707">
        <v>0</v>
      </c>
      <c r="U707">
        <v>0</v>
      </c>
      <c r="V707">
        <v>10</v>
      </c>
      <c r="W707" s="22">
        <f t="shared" si="30"/>
        <v>17630</v>
      </c>
      <c r="X707" t="str">
        <f t="shared" si="31"/>
        <v>S</v>
      </c>
      <c r="Y707" s="23">
        <f t="shared" si="32"/>
        <v>0.99982983550765736</v>
      </c>
      <c r="AA707" s="23"/>
    </row>
    <row r="708" spans="1:27">
      <c r="A708">
        <v>703</v>
      </c>
      <c r="B708">
        <v>0</v>
      </c>
      <c r="C708">
        <v>2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4</v>
      </c>
      <c r="N708">
        <v>0</v>
      </c>
      <c r="O708">
        <v>0</v>
      </c>
      <c r="P708">
        <v>0</v>
      </c>
      <c r="Q708">
        <v>17625</v>
      </c>
      <c r="R708">
        <v>0</v>
      </c>
      <c r="S708">
        <v>0</v>
      </c>
      <c r="T708">
        <v>0</v>
      </c>
      <c r="U708">
        <v>0</v>
      </c>
      <c r="V708">
        <v>10</v>
      </c>
      <c r="W708" s="22">
        <f t="shared" si="30"/>
        <v>17632</v>
      </c>
      <c r="X708" t="str">
        <f t="shared" si="31"/>
        <v>S</v>
      </c>
      <c r="Y708" s="23">
        <f t="shared" si="32"/>
        <v>0.99960299455535395</v>
      </c>
      <c r="AA708" s="23"/>
    </row>
    <row r="709" spans="1:27">
      <c r="A709">
        <v>704</v>
      </c>
      <c r="B709">
        <v>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17627</v>
      </c>
      <c r="R709">
        <v>0</v>
      </c>
      <c r="S709">
        <v>0</v>
      </c>
      <c r="T709">
        <v>0</v>
      </c>
      <c r="U709">
        <v>0</v>
      </c>
      <c r="V709">
        <v>11</v>
      </c>
      <c r="W709" s="22">
        <f t="shared" si="30"/>
        <v>17631</v>
      </c>
      <c r="X709" t="str">
        <f t="shared" si="31"/>
        <v>S</v>
      </c>
      <c r="Y709" s="23">
        <f t="shared" si="32"/>
        <v>0.99977312687879305</v>
      </c>
      <c r="AA709" s="23"/>
    </row>
    <row r="710" spans="1:27">
      <c r="A710">
        <v>705</v>
      </c>
      <c r="B710">
        <v>0</v>
      </c>
      <c r="C710">
        <v>0</v>
      </c>
      <c r="D710">
        <v>0</v>
      </c>
      <c r="E710">
        <v>0</v>
      </c>
      <c r="F710">
        <v>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17626</v>
      </c>
      <c r="V710">
        <v>12</v>
      </c>
      <c r="W710" s="22">
        <f t="shared" ref="W710:W763" si="33">SUM(B710:U710)</f>
        <v>17628</v>
      </c>
      <c r="X710" t="str">
        <f t="shared" ref="X710:X763" si="34">INDEX(($B$4:$U$4),MATCH(LARGE(B710:U710,1),B710:U710,0))</f>
        <v>Y</v>
      </c>
      <c r="Y710" s="23">
        <f t="shared" ref="Y710:Y763" si="35">(MAX(B710:U710))/W710</f>
        <v>0.99988654413433176</v>
      </c>
      <c r="AA710" s="23"/>
    </row>
    <row r="711" spans="1:27">
      <c r="A711">
        <v>706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5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17623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12</v>
      </c>
      <c r="W711" s="22">
        <f t="shared" si="33"/>
        <v>17630</v>
      </c>
      <c r="X711" t="str">
        <f t="shared" si="34"/>
        <v>R</v>
      </c>
      <c r="Y711" s="23">
        <f t="shared" si="35"/>
        <v>0.99960294951786732</v>
      </c>
      <c r="AA711" s="23"/>
    </row>
    <row r="712" spans="1:27">
      <c r="A712">
        <v>707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17618</v>
      </c>
      <c r="Q712">
        <v>0</v>
      </c>
      <c r="R712">
        <v>2</v>
      </c>
      <c r="S712">
        <v>0</v>
      </c>
      <c r="T712">
        <v>0</v>
      </c>
      <c r="U712">
        <v>0</v>
      </c>
      <c r="V712">
        <v>12</v>
      </c>
      <c r="W712" s="22">
        <f t="shared" si="33"/>
        <v>17623</v>
      </c>
      <c r="X712" t="str">
        <f t="shared" si="34"/>
        <v>R</v>
      </c>
      <c r="Y712" s="23">
        <f t="shared" si="35"/>
        <v>0.99971627986154454</v>
      </c>
      <c r="AA712" s="23"/>
    </row>
    <row r="713" spans="1:27">
      <c r="A713">
        <v>708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17621</v>
      </c>
      <c r="O713">
        <v>0</v>
      </c>
      <c r="P713">
        <v>3</v>
      </c>
      <c r="Q713">
        <v>3</v>
      </c>
      <c r="R713">
        <v>1</v>
      </c>
      <c r="S713">
        <v>0</v>
      </c>
      <c r="T713">
        <v>0</v>
      </c>
      <c r="U713">
        <v>0</v>
      </c>
      <c r="V713">
        <v>12</v>
      </c>
      <c r="W713" s="22">
        <f t="shared" si="33"/>
        <v>17629</v>
      </c>
      <c r="X713" t="str">
        <f t="shared" si="34"/>
        <v>P</v>
      </c>
      <c r="Y713" s="23">
        <f t="shared" si="35"/>
        <v>0.99954620228033353</v>
      </c>
      <c r="AA713" s="23"/>
    </row>
    <row r="714" spans="1:27">
      <c r="A714">
        <v>709</v>
      </c>
      <c r="B714">
        <v>1</v>
      </c>
      <c r="C714">
        <v>0</v>
      </c>
      <c r="D714">
        <v>4</v>
      </c>
      <c r="E714">
        <v>0</v>
      </c>
      <c r="F714">
        <v>0</v>
      </c>
      <c r="G714">
        <v>0</v>
      </c>
      <c r="H714">
        <v>0</v>
      </c>
      <c r="I714">
        <v>27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17592</v>
      </c>
      <c r="T714">
        <v>0</v>
      </c>
      <c r="U714">
        <v>0</v>
      </c>
      <c r="V714">
        <v>12</v>
      </c>
      <c r="W714" s="22">
        <f t="shared" si="33"/>
        <v>17624</v>
      </c>
      <c r="X714" t="str">
        <f t="shared" si="34"/>
        <v>V</v>
      </c>
      <c r="Y714" s="23">
        <f t="shared" si="35"/>
        <v>0.99818429414434862</v>
      </c>
      <c r="AA714" s="23"/>
    </row>
    <row r="715" spans="1:27">
      <c r="A715">
        <v>710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17628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12</v>
      </c>
      <c r="W715" s="22">
        <f t="shared" si="33"/>
        <v>17629</v>
      </c>
      <c r="X715" t="str">
        <f t="shared" si="34"/>
        <v>G</v>
      </c>
      <c r="Y715" s="23">
        <f t="shared" si="35"/>
        <v>0.99994327528504168</v>
      </c>
      <c r="AA715" s="23"/>
    </row>
    <row r="716" spans="1:27">
      <c r="A716">
        <v>711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17590</v>
      </c>
      <c r="J716">
        <v>0</v>
      </c>
      <c r="K716">
        <v>32</v>
      </c>
      <c r="L716">
        <v>1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4</v>
      </c>
      <c r="T716">
        <v>0</v>
      </c>
      <c r="U716">
        <v>0</v>
      </c>
      <c r="V716">
        <v>13</v>
      </c>
      <c r="W716" s="22">
        <f t="shared" si="33"/>
        <v>17628</v>
      </c>
      <c r="X716" t="str">
        <f t="shared" si="34"/>
        <v>I</v>
      </c>
      <c r="Y716" s="23">
        <f t="shared" si="35"/>
        <v>0.99784433855230315</v>
      </c>
      <c r="AA716" s="23"/>
    </row>
    <row r="717" spans="1:27">
      <c r="A717">
        <v>712</v>
      </c>
      <c r="B717">
        <v>1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17625</v>
      </c>
      <c r="R717">
        <v>0</v>
      </c>
      <c r="S717">
        <v>0</v>
      </c>
      <c r="T717">
        <v>0</v>
      </c>
      <c r="U717">
        <v>0</v>
      </c>
      <c r="V717">
        <v>12</v>
      </c>
      <c r="W717" s="22">
        <f t="shared" si="33"/>
        <v>17627</v>
      </c>
      <c r="X717" t="str">
        <f t="shared" si="34"/>
        <v>S</v>
      </c>
      <c r="Y717" s="23">
        <f t="shared" si="35"/>
        <v>0.99988653769784985</v>
      </c>
      <c r="AA717" s="23"/>
    </row>
    <row r="718" spans="1:27">
      <c r="A718">
        <v>713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17628</v>
      </c>
      <c r="R718">
        <v>0</v>
      </c>
      <c r="S718">
        <v>1</v>
      </c>
      <c r="T718">
        <v>0</v>
      </c>
      <c r="U718">
        <v>0</v>
      </c>
      <c r="V718">
        <v>12</v>
      </c>
      <c r="W718" s="22">
        <f t="shared" si="33"/>
        <v>17630</v>
      </c>
      <c r="X718" t="str">
        <f t="shared" si="34"/>
        <v>S</v>
      </c>
      <c r="Y718" s="23">
        <f t="shared" si="35"/>
        <v>0.99988655700510498</v>
      </c>
      <c r="AA718" s="23"/>
    </row>
    <row r="719" spans="1:27">
      <c r="A719">
        <v>714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17627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0</v>
      </c>
      <c r="U719">
        <v>0</v>
      </c>
      <c r="V719">
        <v>12</v>
      </c>
      <c r="W719" s="22">
        <f t="shared" si="33"/>
        <v>17630</v>
      </c>
      <c r="X719" t="str">
        <f t="shared" si="34"/>
        <v>M</v>
      </c>
      <c r="Y719" s="23">
        <f t="shared" si="35"/>
        <v>0.99982983550765736</v>
      </c>
      <c r="AA719" s="23"/>
    </row>
    <row r="720" spans="1:27">
      <c r="A720">
        <v>715</v>
      </c>
      <c r="B720">
        <v>11</v>
      </c>
      <c r="C720">
        <v>0</v>
      </c>
      <c r="D720">
        <v>0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18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17595</v>
      </c>
      <c r="T720">
        <v>0</v>
      </c>
      <c r="U720">
        <v>0</v>
      </c>
      <c r="V720">
        <v>12</v>
      </c>
      <c r="W720" s="22">
        <f t="shared" si="33"/>
        <v>17626</v>
      </c>
      <c r="X720" t="str">
        <f t="shared" si="34"/>
        <v>V</v>
      </c>
      <c r="Y720" s="23">
        <f t="shared" si="35"/>
        <v>0.99824123453988423</v>
      </c>
      <c r="AA720" s="23"/>
    </row>
    <row r="721" spans="1:29">
      <c r="A721">
        <v>716</v>
      </c>
      <c r="B721">
        <v>1</v>
      </c>
      <c r="C721">
        <v>0</v>
      </c>
      <c r="D721">
        <v>7</v>
      </c>
      <c r="E721">
        <v>17619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12</v>
      </c>
      <c r="W721" s="22">
        <f t="shared" si="33"/>
        <v>17628</v>
      </c>
      <c r="X721" t="str">
        <f t="shared" si="34"/>
        <v>E</v>
      </c>
      <c r="Y721" s="23">
        <f t="shared" si="35"/>
        <v>0.99948944860449285</v>
      </c>
      <c r="AA721" s="23"/>
    </row>
    <row r="722" spans="1:29">
      <c r="A722">
        <v>717</v>
      </c>
      <c r="B722">
        <v>17622</v>
      </c>
      <c r="C722">
        <v>0</v>
      </c>
      <c r="D722">
        <v>0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2</v>
      </c>
      <c r="R722">
        <v>0</v>
      </c>
      <c r="S722">
        <v>0</v>
      </c>
      <c r="T722">
        <v>0</v>
      </c>
      <c r="U722">
        <v>0</v>
      </c>
      <c r="V722">
        <v>13</v>
      </c>
      <c r="W722" s="22">
        <f t="shared" si="33"/>
        <v>17626</v>
      </c>
      <c r="X722" t="str">
        <f t="shared" si="34"/>
        <v>A</v>
      </c>
      <c r="Y722" s="23">
        <f t="shared" si="35"/>
        <v>0.9997730625212754</v>
      </c>
      <c r="AA722" s="23"/>
    </row>
    <row r="723" spans="1:29">
      <c r="A723">
        <v>718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17626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13</v>
      </c>
      <c r="W723" s="22">
        <f t="shared" si="33"/>
        <v>17628</v>
      </c>
      <c r="X723" t="str">
        <f t="shared" si="34"/>
        <v>M</v>
      </c>
      <c r="Y723" s="23">
        <f t="shared" si="35"/>
        <v>0.99988654413433176</v>
      </c>
      <c r="AA723" s="23"/>
    </row>
    <row r="724" spans="1:29">
      <c r="A724">
        <v>719</v>
      </c>
      <c r="B724">
        <v>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14</v>
      </c>
      <c r="J724">
        <v>0</v>
      </c>
      <c r="K724">
        <v>1</v>
      </c>
      <c r="L724">
        <v>44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17566</v>
      </c>
      <c r="T724">
        <v>0</v>
      </c>
      <c r="U724">
        <v>0</v>
      </c>
      <c r="V724">
        <v>13</v>
      </c>
      <c r="W724" s="22">
        <f t="shared" si="33"/>
        <v>17627</v>
      </c>
      <c r="X724" t="str">
        <f t="shared" si="34"/>
        <v>V</v>
      </c>
      <c r="Y724" s="23">
        <f t="shared" si="35"/>
        <v>0.99653939978442163</v>
      </c>
      <c r="AA724" s="23"/>
    </row>
    <row r="725" spans="1:29">
      <c r="A725">
        <v>720</v>
      </c>
      <c r="B725">
        <v>13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17615</v>
      </c>
      <c r="R725">
        <v>0</v>
      </c>
      <c r="S725">
        <v>0</v>
      </c>
      <c r="T725">
        <v>0</v>
      </c>
      <c r="U725">
        <v>0</v>
      </c>
      <c r="V725">
        <v>13</v>
      </c>
      <c r="W725" s="22">
        <f t="shared" si="33"/>
        <v>17629</v>
      </c>
      <c r="X725" t="str">
        <f t="shared" si="34"/>
        <v>S</v>
      </c>
      <c r="Y725" s="23">
        <f t="shared" si="35"/>
        <v>0.9992058539905837</v>
      </c>
      <c r="AA725" s="23"/>
    </row>
    <row r="726" spans="1:29">
      <c r="A726">
        <v>721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6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17622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13</v>
      </c>
      <c r="W726" s="22">
        <f t="shared" si="33"/>
        <v>17628</v>
      </c>
      <c r="X726" t="str">
        <f t="shared" si="34"/>
        <v>R</v>
      </c>
      <c r="Y726" s="23">
        <f t="shared" si="35"/>
        <v>0.99965963240299527</v>
      </c>
      <c r="AA726" s="23"/>
    </row>
    <row r="727" spans="1:29">
      <c r="A727">
        <v>722</v>
      </c>
      <c r="B727">
        <v>17614</v>
      </c>
      <c r="C727">
        <v>0</v>
      </c>
      <c r="D727">
        <v>0</v>
      </c>
      <c r="E727">
        <v>0</v>
      </c>
      <c r="F727">
        <v>0</v>
      </c>
      <c r="G727">
        <v>10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3</v>
      </c>
      <c r="S727">
        <v>0</v>
      </c>
      <c r="T727">
        <v>0</v>
      </c>
      <c r="U727">
        <v>0</v>
      </c>
      <c r="V727">
        <v>13</v>
      </c>
      <c r="W727" s="22">
        <f t="shared" si="33"/>
        <v>17627</v>
      </c>
      <c r="X727" t="str">
        <f t="shared" si="34"/>
        <v>A</v>
      </c>
      <c r="Y727" s="23">
        <f t="shared" si="35"/>
        <v>0.99926249503602427</v>
      </c>
      <c r="AA727" s="23"/>
    </row>
    <row r="728" spans="1:29">
      <c r="A728">
        <v>723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</v>
      </c>
      <c r="L728">
        <v>0</v>
      </c>
      <c r="M728">
        <v>0</v>
      </c>
      <c r="N728">
        <v>0</v>
      </c>
      <c r="O728">
        <v>26</v>
      </c>
      <c r="P728">
        <v>17596</v>
      </c>
      <c r="Q728">
        <v>0</v>
      </c>
      <c r="R728">
        <v>0</v>
      </c>
      <c r="S728">
        <v>0</v>
      </c>
      <c r="T728">
        <v>3</v>
      </c>
      <c r="U728">
        <v>0</v>
      </c>
      <c r="V728">
        <v>13</v>
      </c>
      <c r="W728" s="22">
        <f t="shared" si="33"/>
        <v>17627</v>
      </c>
      <c r="X728" t="str">
        <f t="shared" si="34"/>
        <v>R</v>
      </c>
      <c r="Y728" s="23">
        <f t="shared" si="35"/>
        <v>0.99824133431667328</v>
      </c>
      <c r="AA728" s="23"/>
    </row>
    <row r="729" spans="1:29">
      <c r="A729">
        <v>724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17627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2</v>
      </c>
      <c r="T729">
        <v>0</v>
      </c>
      <c r="U729">
        <v>0</v>
      </c>
      <c r="V729">
        <v>13</v>
      </c>
      <c r="W729" s="22">
        <f t="shared" si="33"/>
        <v>17630</v>
      </c>
      <c r="X729" t="str">
        <f t="shared" si="34"/>
        <v>I</v>
      </c>
      <c r="Y729" s="23">
        <f t="shared" si="35"/>
        <v>0.99982983550765736</v>
      </c>
      <c r="AA729" s="23"/>
    </row>
    <row r="730" spans="1:29">
      <c r="A730">
        <v>725</v>
      </c>
      <c r="B730">
        <v>0</v>
      </c>
      <c r="C730">
        <v>0</v>
      </c>
      <c r="D730">
        <v>17629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13</v>
      </c>
      <c r="W730" s="22">
        <f t="shared" si="33"/>
        <v>17629</v>
      </c>
      <c r="X730" t="str">
        <f t="shared" si="34"/>
        <v>D</v>
      </c>
      <c r="Y730" s="23">
        <f t="shared" si="35"/>
        <v>1</v>
      </c>
      <c r="AA730" s="23"/>
    </row>
    <row r="731" spans="1:29">
      <c r="A731">
        <v>726</v>
      </c>
      <c r="B731">
        <v>17625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</v>
      </c>
      <c r="S731">
        <v>2</v>
      </c>
      <c r="T731">
        <v>0</v>
      </c>
      <c r="U731">
        <v>0</v>
      </c>
      <c r="V731">
        <v>13</v>
      </c>
      <c r="W731" s="22">
        <f t="shared" si="33"/>
        <v>17629</v>
      </c>
      <c r="X731" t="str">
        <f t="shared" si="34"/>
        <v>A</v>
      </c>
      <c r="Y731" s="23">
        <f t="shared" si="35"/>
        <v>0.99977310114016682</v>
      </c>
      <c r="AA731" s="23"/>
    </row>
    <row r="732" spans="1:29">
      <c r="A732">
        <v>727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17627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13</v>
      </c>
      <c r="W732" s="22">
        <f t="shared" si="33"/>
        <v>17627</v>
      </c>
      <c r="X732" t="str">
        <f t="shared" si="34"/>
        <v>R</v>
      </c>
      <c r="Y732" s="23">
        <f t="shared" si="35"/>
        <v>1</v>
      </c>
      <c r="AA732" s="23"/>
    </row>
    <row r="733" spans="1:29">
      <c r="A733" s="24">
        <v>728</v>
      </c>
      <c r="B733" s="24">
        <v>2</v>
      </c>
      <c r="C733" s="24">
        <v>0</v>
      </c>
      <c r="D733" s="24">
        <v>0</v>
      </c>
      <c r="E733" s="24">
        <v>0</v>
      </c>
      <c r="F733" s="24">
        <v>1</v>
      </c>
      <c r="G733" s="24">
        <v>0</v>
      </c>
      <c r="H733" s="24">
        <v>0</v>
      </c>
      <c r="I733" s="24">
        <v>116</v>
      </c>
      <c r="J733" s="24">
        <v>0</v>
      </c>
      <c r="K733" s="24">
        <v>0</v>
      </c>
      <c r="L733" s="24">
        <v>0</v>
      </c>
      <c r="M733" s="24">
        <v>0</v>
      </c>
      <c r="N733" s="24">
        <v>0</v>
      </c>
      <c r="O733" s="24">
        <v>0</v>
      </c>
      <c r="P733" s="24">
        <v>0</v>
      </c>
      <c r="Q733" s="24">
        <v>0</v>
      </c>
      <c r="R733" s="24">
        <v>0</v>
      </c>
      <c r="S733" s="24">
        <v>17502</v>
      </c>
      <c r="T733" s="24">
        <v>0</v>
      </c>
      <c r="U733" s="24">
        <v>0</v>
      </c>
      <c r="V733" s="24">
        <v>13</v>
      </c>
      <c r="W733" s="24">
        <f t="shared" si="33"/>
        <v>17621</v>
      </c>
      <c r="X733" s="24" t="str">
        <f t="shared" si="34"/>
        <v>V</v>
      </c>
      <c r="Y733" s="25">
        <f t="shared" si="35"/>
        <v>0.99324669428522783</v>
      </c>
      <c r="Z733" s="24"/>
      <c r="AA733" s="25">
        <f>I733/W733</f>
        <v>6.5830543101980587E-3</v>
      </c>
      <c r="AB733" s="24"/>
      <c r="AC733" s="24"/>
    </row>
    <row r="734" spans="1:29">
      <c r="A734">
        <v>729</v>
      </c>
      <c r="B734">
        <v>0</v>
      </c>
      <c r="C734">
        <v>0</v>
      </c>
      <c r="D734">
        <v>17613</v>
      </c>
      <c r="E734">
        <v>4</v>
      </c>
      <c r="F734">
        <v>0</v>
      </c>
      <c r="G734">
        <v>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5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13</v>
      </c>
      <c r="W734" s="22">
        <f t="shared" si="33"/>
        <v>17625</v>
      </c>
      <c r="X734" t="str">
        <f t="shared" si="34"/>
        <v>D</v>
      </c>
      <c r="Y734" s="23">
        <f t="shared" si="35"/>
        <v>0.99931914893617024</v>
      </c>
      <c r="AA734" s="23"/>
    </row>
    <row r="735" spans="1:29">
      <c r="A735">
        <v>730</v>
      </c>
      <c r="B735">
        <v>0</v>
      </c>
      <c r="C735">
        <v>0</v>
      </c>
      <c r="D735">
        <v>0</v>
      </c>
      <c r="E735">
        <v>0</v>
      </c>
      <c r="F735">
        <v>17589</v>
      </c>
      <c r="G735">
        <v>0</v>
      </c>
      <c r="H735">
        <v>0</v>
      </c>
      <c r="I735">
        <v>0</v>
      </c>
      <c r="J735">
        <v>0</v>
      </c>
      <c r="K735">
        <v>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33</v>
      </c>
      <c r="R735">
        <v>0</v>
      </c>
      <c r="S735">
        <v>1</v>
      </c>
      <c r="T735">
        <v>0</v>
      </c>
      <c r="U735">
        <v>1</v>
      </c>
      <c r="V735">
        <v>13</v>
      </c>
      <c r="W735" s="22">
        <f t="shared" si="33"/>
        <v>17629</v>
      </c>
      <c r="X735" t="str">
        <f t="shared" si="34"/>
        <v>F</v>
      </c>
      <c r="Y735" s="23">
        <f t="shared" si="35"/>
        <v>0.99773101140166776</v>
      </c>
      <c r="AA735" s="23"/>
    </row>
    <row r="736" spans="1:29">
      <c r="A736">
        <v>731</v>
      </c>
      <c r="B736">
        <v>0</v>
      </c>
      <c r="C736">
        <v>0</v>
      </c>
      <c r="D736">
        <v>2</v>
      </c>
      <c r="E736">
        <v>17622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13</v>
      </c>
      <c r="W736" s="22">
        <f t="shared" si="33"/>
        <v>17624</v>
      </c>
      <c r="X736" t="str">
        <f t="shared" si="34"/>
        <v>E</v>
      </c>
      <c r="Y736" s="23">
        <f t="shared" si="35"/>
        <v>0.99988651838402176</v>
      </c>
      <c r="AA736" s="23"/>
    </row>
    <row r="737" spans="1:34">
      <c r="A737">
        <v>732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17626</v>
      </c>
      <c r="R737">
        <v>0</v>
      </c>
      <c r="S737">
        <v>0</v>
      </c>
      <c r="T737">
        <v>0</v>
      </c>
      <c r="U737">
        <v>0</v>
      </c>
      <c r="V737">
        <v>14</v>
      </c>
      <c r="W737" s="22">
        <f t="shared" si="33"/>
        <v>17626</v>
      </c>
      <c r="X737" t="str">
        <f t="shared" si="34"/>
        <v>S</v>
      </c>
      <c r="Y737" s="23">
        <f t="shared" si="35"/>
        <v>1</v>
      </c>
      <c r="AA737" s="23"/>
    </row>
    <row r="738" spans="1:34">
      <c r="A738">
        <v>733</v>
      </c>
      <c r="B738">
        <v>0</v>
      </c>
      <c r="C738">
        <v>0</v>
      </c>
      <c r="D738">
        <v>0</v>
      </c>
      <c r="E738">
        <v>15</v>
      </c>
      <c r="F738">
        <v>0</v>
      </c>
      <c r="G738">
        <v>17605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14</v>
      </c>
      <c r="W738" s="22">
        <f t="shared" si="33"/>
        <v>17626</v>
      </c>
      <c r="X738" t="str">
        <f t="shared" si="34"/>
        <v>G</v>
      </c>
      <c r="Y738" s="23">
        <f t="shared" si="35"/>
        <v>0.99880857823669578</v>
      </c>
      <c r="AA738" s="23"/>
    </row>
    <row r="739" spans="1:34">
      <c r="A739">
        <v>734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2</v>
      </c>
      <c r="P739">
        <v>17619</v>
      </c>
      <c r="Q739">
        <v>0</v>
      </c>
      <c r="R739">
        <v>0</v>
      </c>
      <c r="S739">
        <v>0</v>
      </c>
      <c r="T739">
        <v>3</v>
      </c>
      <c r="U739">
        <v>0</v>
      </c>
      <c r="V739">
        <v>14</v>
      </c>
      <c r="W739" s="22">
        <f t="shared" si="33"/>
        <v>17625</v>
      </c>
      <c r="X739" t="str">
        <f t="shared" si="34"/>
        <v>R</v>
      </c>
      <c r="Y739" s="23">
        <f t="shared" si="35"/>
        <v>0.99965957446808507</v>
      </c>
      <c r="AA739" s="23"/>
    </row>
    <row r="740" spans="1:34">
      <c r="A740">
        <v>735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17563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14</v>
      </c>
      <c r="S740">
        <v>39</v>
      </c>
      <c r="T740">
        <v>0</v>
      </c>
      <c r="U740">
        <v>0</v>
      </c>
      <c r="V740">
        <v>14</v>
      </c>
      <c r="W740" s="22">
        <f t="shared" si="33"/>
        <v>17618</v>
      </c>
      <c r="X740" t="str">
        <f t="shared" si="34"/>
        <v>I</v>
      </c>
      <c r="Y740" s="23">
        <f t="shared" si="35"/>
        <v>0.99687819275740719</v>
      </c>
      <c r="AA740" s="23"/>
    </row>
    <row r="741" spans="1:34">
      <c r="A741">
        <v>736</v>
      </c>
      <c r="B741">
        <v>0</v>
      </c>
      <c r="C741">
        <v>0</v>
      </c>
      <c r="D741">
        <v>0</v>
      </c>
      <c r="E741">
        <v>4</v>
      </c>
      <c r="F741">
        <v>0</v>
      </c>
      <c r="G741">
        <v>234</v>
      </c>
      <c r="H741">
        <v>0</v>
      </c>
      <c r="I741">
        <v>0</v>
      </c>
      <c r="J741">
        <v>17369</v>
      </c>
      <c r="K741">
        <v>0</v>
      </c>
      <c r="L741">
        <v>0</v>
      </c>
      <c r="M741">
        <v>3</v>
      </c>
      <c r="N741">
        <v>0</v>
      </c>
      <c r="O741">
        <v>0</v>
      </c>
      <c r="P741">
        <v>15</v>
      </c>
      <c r="Q741">
        <v>0</v>
      </c>
      <c r="R741">
        <v>2</v>
      </c>
      <c r="S741">
        <v>0</v>
      </c>
      <c r="T741">
        <v>0</v>
      </c>
      <c r="U741">
        <v>0</v>
      </c>
      <c r="V741">
        <v>14</v>
      </c>
      <c r="W741" s="22">
        <f t="shared" si="33"/>
        <v>17627</v>
      </c>
      <c r="X741" t="str">
        <f t="shared" si="34"/>
        <v>K</v>
      </c>
      <c r="Y741" s="23">
        <f t="shared" si="35"/>
        <v>0.98536336302263572</v>
      </c>
      <c r="AA741" s="23"/>
    </row>
    <row r="742" spans="1:34">
      <c r="A742">
        <v>737</v>
      </c>
      <c r="B742">
        <v>0</v>
      </c>
      <c r="C742">
        <v>0</v>
      </c>
      <c r="D742">
        <v>0</v>
      </c>
      <c r="E742">
        <v>3</v>
      </c>
      <c r="F742">
        <v>0</v>
      </c>
      <c r="G742">
        <v>0</v>
      </c>
      <c r="H742">
        <v>0</v>
      </c>
      <c r="I742">
        <v>0</v>
      </c>
      <c r="J742">
        <v>17609</v>
      </c>
      <c r="K742">
        <v>0</v>
      </c>
      <c r="L742">
        <v>0</v>
      </c>
      <c r="M742">
        <v>2</v>
      </c>
      <c r="N742">
        <v>0</v>
      </c>
      <c r="O742">
        <v>0</v>
      </c>
      <c r="P742">
        <v>11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15</v>
      </c>
      <c r="W742" s="22">
        <f t="shared" si="33"/>
        <v>17625</v>
      </c>
      <c r="X742" t="str">
        <f t="shared" si="34"/>
        <v>K</v>
      </c>
      <c r="Y742" s="23">
        <f t="shared" si="35"/>
        <v>0.99909219858156029</v>
      </c>
      <c r="AA742" s="23"/>
    </row>
    <row r="743" spans="1:34">
      <c r="A743">
        <v>738</v>
      </c>
      <c r="B743">
        <v>1</v>
      </c>
      <c r="C743">
        <v>0</v>
      </c>
      <c r="D743">
        <v>8</v>
      </c>
      <c r="E743">
        <v>17608</v>
      </c>
      <c r="F743">
        <v>0</v>
      </c>
      <c r="G743">
        <v>5</v>
      </c>
      <c r="H743">
        <v>0</v>
      </c>
      <c r="I743">
        <v>0</v>
      </c>
      <c r="J743">
        <v>3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14</v>
      </c>
      <c r="W743" s="22">
        <f t="shared" si="33"/>
        <v>17625</v>
      </c>
      <c r="X743" t="str">
        <f t="shared" si="34"/>
        <v>E</v>
      </c>
      <c r="Y743" s="23">
        <f t="shared" si="35"/>
        <v>0.99903546099290785</v>
      </c>
      <c r="AA743" s="23"/>
    </row>
    <row r="744" spans="1:34">
      <c r="A744">
        <v>739</v>
      </c>
      <c r="B744">
        <v>2</v>
      </c>
      <c r="C744">
        <v>0</v>
      </c>
      <c r="D744">
        <v>14</v>
      </c>
      <c r="E744">
        <v>17600</v>
      </c>
      <c r="F744">
        <v>0</v>
      </c>
      <c r="G744">
        <v>5</v>
      </c>
      <c r="H744">
        <v>0</v>
      </c>
      <c r="I744">
        <v>0</v>
      </c>
      <c r="J744">
        <v>5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2</v>
      </c>
      <c r="T744">
        <v>0</v>
      </c>
      <c r="U744">
        <v>0</v>
      </c>
      <c r="V744">
        <v>14</v>
      </c>
      <c r="W744" s="22">
        <f t="shared" si="33"/>
        <v>17628</v>
      </c>
      <c r="X744" t="str">
        <f t="shared" si="34"/>
        <v>E</v>
      </c>
      <c r="Y744" s="23">
        <f t="shared" si="35"/>
        <v>0.99841161788064448</v>
      </c>
      <c r="AA744" s="23"/>
    </row>
    <row r="745" spans="1:34">
      <c r="A745">
        <v>740</v>
      </c>
      <c r="B745">
        <v>0</v>
      </c>
      <c r="C745">
        <v>0</v>
      </c>
      <c r="D745">
        <v>0</v>
      </c>
      <c r="E745">
        <v>0</v>
      </c>
      <c r="F745">
        <v>17617</v>
      </c>
      <c r="G745">
        <v>0</v>
      </c>
      <c r="H745">
        <v>0</v>
      </c>
      <c r="I745">
        <v>0</v>
      </c>
      <c r="J745">
        <v>0</v>
      </c>
      <c r="K745">
        <v>10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14</v>
      </c>
      <c r="W745" s="22">
        <f t="shared" si="33"/>
        <v>17627</v>
      </c>
      <c r="X745" t="str">
        <f t="shared" si="34"/>
        <v>F</v>
      </c>
      <c r="Y745" s="23">
        <f t="shared" si="35"/>
        <v>0.99943268848924949</v>
      </c>
      <c r="AA745" s="23"/>
    </row>
    <row r="746" spans="1:34">
      <c r="A746" s="24">
        <v>741</v>
      </c>
      <c r="B746" s="24">
        <v>1</v>
      </c>
      <c r="C746" s="24">
        <v>0</v>
      </c>
      <c r="D746" s="24">
        <v>0</v>
      </c>
      <c r="E746" s="24">
        <v>0</v>
      </c>
      <c r="F746" s="24">
        <v>4</v>
      </c>
      <c r="G746" s="24">
        <v>0</v>
      </c>
      <c r="H746" s="24">
        <v>0</v>
      </c>
      <c r="I746" s="24">
        <v>0</v>
      </c>
      <c r="J746" s="24">
        <v>0</v>
      </c>
      <c r="K746" s="24">
        <v>0</v>
      </c>
      <c r="L746" s="24">
        <v>0</v>
      </c>
      <c r="M746" s="24">
        <v>0</v>
      </c>
      <c r="N746" s="24">
        <v>0</v>
      </c>
      <c r="O746" s="24">
        <v>0</v>
      </c>
      <c r="P746" s="24">
        <v>0</v>
      </c>
      <c r="Q746" s="24">
        <v>17610</v>
      </c>
      <c r="R746" s="24">
        <v>3</v>
      </c>
      <c r="S746" s="24">
        <v>0</v>
      </c>
      <c r="T746" s="24">
        <v>0</v>
      </c>
      <c r="U746" s="24">
        <v>6</v>
      </c>
      <c r="V746" s="24">
        <v>14</v>
      </c>
      <c r="W746" s="24">
        <f t="shared" si="33"/>
        <v>17624</v>
      </c>
      <c r="X746" s="24" t="str">
        <f t="shared" si="34"/>
        <v>S</v>
      </c>
      <c r="Y746" s="25">
        <f t="shared" si="35"/>
        <v>0.99920562868815255</v>
      </c>
      <c r="Z746" s="24"/>
      <c r="AA746" s="25">
        <f>B746/W746</f>
        <v>5.6740807989105766E-5</v>
      </c>
      <c r="AB746" s="24"/>
      <c r="AC746" s="24"/>
      <c r="AD746" s="24"/>
      <c r="AE746" s="24"/>
      <c r="AF746" s="24"/>
      <c r="AG746" s="24"/>
      <c r="AH746" s="24"/>
    </row>
    <row r="747" spans="1:34">
      <c r="A747">
        <v>742</v>
      </c>
      <c r="B747">
        <v>0</v>
      </c>
      <c r="C747">
        <v>0</v>
      </c>
      <c r="D747">
        <v>91</v>
      </c>
      <c r="E747">
        <v>17535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14</v>
      </c>
      <c r="W747" s="22">
        <f t="shared" si="33"/>
        <v>17629</v>
      </c>
      <c r="X747" t="str">
        <f t="shared" si="34"/>
        <v>E</v>
      </c>
      <c r="Y747" s="23">
        <f t="shared" si="35"/>
        <v>0.9946678767939191</v>
      </c>
      <c r="AA747" s="23"/>
    </row>
    <row r="748" spans="1:34">
      <c r="A748">
        <v>743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17623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</v>
      </c>
      <c r="S748">
        <v>1</v>
      </c>
      <c r="T748">
        <v>0</v>
      </c>
      <c r="U748">
        <v>0</v>
      </c>
      <c r="V748">
        <v>14</v>
      </c>
      <c r="W748" s="22">
        <f t="shared" si="33"/>
        <v>17628</v>
      </c>
      <c r="X748" t="str">
        <f t="shared" si="34"/>
        <v>I</v>
      </c>
      <c r="Y748" s="23">
        <f t="shared" si="35"/>
        <v>0.99971636033582933</v>
      </c>
      <c r="AA748" s="23"/>
    </row>
    <row r="749" spans="1:34">
      <c r="A749">
        <v>744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134</v>
      </c>
      <c r="J749">
        <v>2</v>
      </c>
      <c r="K749">
        <v>21</v>
      </c>
      <c r="L749">
        <v>17457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3</v>
      </c>
      <c r="S749">
        <v>10</v>
      </c>
      <c r="T749">
        <v>0</v>
      </c>
      <c r="U749">
        <v>0</v>
      </c>
      <c r="V749">
        <v>14</v>
      </c>
      <c r="W749" s="22">
        <f t="shared" si="33"/>
        <v>17627</v>
      </c>
      <c r="X749" t="str">
        <f t="shared" si="34"/>
        <v>M</v>
      </c>
      <c r="Y749" s="23">
        <f t="shared" si="35"/>
        <v>0.99035570431724063</v>
      </c>
      <c r="AA749" s="23"/>
    </row>
    <row r="750" spans="1:34">
      <c r="A750">
        <v>745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17614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8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14</v>
      </c>
      <c r="W750" s="22">
        <f t="shared" si="33"/>
        <v>17623</v>
      </c>
      <c r="X750" t="str">
        <f t="shared" si="34"/>
        <v>K</v>
      </c>
      <c r="Y750" s="23">
        <f t="shared" si="35"/>
        <v>0.99948930375078027</v>
      </c>
      <c r="AA750" s="23"/>
    </row>
    <row r="751" spans="1:34">
      <c r="A751">
        <v>746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17610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15</v>
      </c>
      <c r="S751">
        <v>0</v>
      </c>
      <c r="T751">
        <v>0</v>
      </c>
      <c r="U751">
        <v>0</v>
      </c>
      <c r="V751">
        <v>15</v>
      </c>
      <c r="W751" s="22">
        <f t="shared" si="33"/>
        <v>17625</v>
      </c>
      <c r="X751" t="str">
        <f t="shared" si="34"/>
        <v>I</v>
      </c>
      <c r="Y751" s="23">
        <f t="shared" si="35"/>
        <v>0.99914893617021272</v>
      </c>
      <c r="AA751" s="23"/>
    </row>
    <row r="752" spans="1:34">
      <c r="A752">
        <v>747</v>
      </c>
      <c r="B752">
        <v>0</v>
      </c>
      <c r="C752">
        <v>17624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16</v>
      </c>
      <c r="W752" s="22">
        <f t="shared" si="33"/>
        <v>17624</v>
      </c>
      <c r="X752" t="str">
        <f t="shared" si="34"/>
        <v>C</v>
      </c>
      <c r="Y752" s="23">
        <f t="shared" si="35"/>
        <v>1</v>
      </c>
      <c r="AA752" s="23"/>
    </row>
    <row r="753" spans="1:27">
      <c r="A753">
        <v>748</v>
      </c>
      <c r="B753">
        <v>0</v>
      </c>
      <c r="C753">
        <v>0</v>
      </c>
      <c r="D753">
        <v>0</v>
      </c>
      <c r="E753">
        <v>0</v>
      </c>
      <c r="F753">
        <v>54</v>
      </c>
      <c r="G753">
        <v>0</v>
      </c>
      <c r="H753">
        <v>0</v>
      </c>
      <c r="I753">
        <v>0</v>
      </c>
      <c r="J753">
        <v>0</v>
      </c>
      <c r="K753">
        <v>8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17558</v>
      </c>
      <c r="R753">
        <v>1</v>
      </c>
      <c r="S753">
        <v>0</v>
      </c>
      <c r="T753">
        <v>0</v>
      </c>
      <c r="U753">
        <v>3</v>
      </c>
      <c r="V753">
        <v>17</v>
      </c>
      <c r="W753" s="22">
        <f t="shared" si="33"/>
        <v>17624</v>
      </c>
      <c r="X753" t="str">
        <f t="shared" si="34"/>
        <v>S</v>
      </c>
      <c r="Y753" s="23">
        <f t="shared" si="35"/>
        <v>0.99625510667271899</v>
      </c>
      <c r="AA753" s="23"/>
    </row>
    <row r="754" spans="1:27">
      <c r="A754">
        <v>749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17623</v>
      </c>
      <c r="S754">
        <v>0</v>
      </c>
      <c r="T754">
        <v>0</v>
      </c>
      <c r="U754">
        <v>0</v>
      </c>
      <c r="V754">
        <v>17</v>
      </c>
      <c r="W754" s="22">
        <f t="shared" si="33"/>
        <v>17625</v>
      </c>
      <c r="X754" t="str">
        <f t="shared" si="34"/>
        <v>T</v>
      </c>
      <c r="Y754" s="23">
        <f t="shared" si="35"/>
        <v>0.99988652482269502</v>
      </c>
      <c r="AA754" s="23"/>
    </row>
    <row r="755" spans="1:27">
      <c r="A755">
        <v>750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17621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17</v>
      </c>
      <c r="W755" s="22">
        <f t="shared" si="33"/>
        <v>17623</v>
      </c>
      <c r="X755" t="str">
        <f t="shared" si="34"/>
        <v>I</v>
      </c>
      <c r="Y755" s="23">
        <f t="shared" si="35"/>
        <v>0.99988651194461786</v>
      </c>
    </row>
    <row r="756" spans="1:27">
      <c r="A756">
        <v>751</v>
      </c>
      <c r="B756">
        <v>0</v>
      </c>
      <c r="C756">
        <v>0</v>
      </c>
      <c r="D756">
        <v>0</v>
      </c>
      <c r="E756">
        <v>17616</v>
      </c>
      <c r="F756">
        <v>0</v>
      </c>
      <c r="G756">
        <v>2</v>
      </c>
      <c r="H756">
        <v>0</v>
      </c>
      <c r="I756">
        <v>0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20</v>
      </c>
      <c r="W756" s="22">
        <f t="shared" si="33"/>
        <v>17620</v>
      </c>
      <c r="X756" t="str">
        <f t="shared" si="34"/>
        <v>E</v>
      </c>
      <c r="Y756" s="23">
        <f t="shared" si="35"/>
        <v>0.9997729852440409</v>
      </c>
    </row>
    <row r="757" spans="1:27">
      <c r="A757">
        <v>752</v>
      </c>
      <c r="B757">
        <v>1</v>
      </c>
      <c r="C757">
        <v>0</v>
      </c>
      <c r="D757">
        <v>7</v>
      </c>
      <c r="E757">
        <v>17588</v>
      </c>
      <c r="F757">
        <v>0</v>
      </c>
      <c r="G757">
        <v>10</v>
      </c>
      <c r="H757">
        <v>0</v>
      </c>
      <c r="I757">
        <v>0</v>
      </c>
      <c r="J757">
        <v>4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21</v>
      </c>
      <c r="W757" s="22">
        <f t="shared" si="33"/>
        <v>17610</v>
      </c>
      <c r="X757" t="str">
        <f t="shared" si="34"/>
        <v>E</v>
      </c>
      <c r="Y757" s="23">
        <f t="shared" si="35"/>
        <v>0.99875070982396363</v>
      </c>
    </row>
    <row r="758" spans="1:27">
      <c r="A758">
        <v>753</v>
      </c>
      <c r="B758">
        <v>0</v>
      </c>
      <c r="C758">
        <v>0</v>
      </c>
      <c r="D758">
        <v>0</v>
      </c>
      <c r="E758">
        <v>0</v>
      </c>
      <c r="F758">
        <v>8</v>
      </c>
      <c r="G758">
        <v>0</v>
      </c>
      <c r="H758">
        <v>1</v>
      </c>
      <c r="I758">
        <v>27</v>
      </c>
      <c r="J758">
        <v>0</v>
      </c>
      <c r="K758">
        <v>17524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77</v>
      </c>
      <c r="W758" s="22">
        <f t="shared" si="33"/>
        <v>17561</v>
      </c>
      <c r="X758" t="str">
        <f t="shared" si="34"/>
        <v>L</v>
      </c>
      <c r="Y758" s="23">
        <f t="shared" si="35"/>
        <v>0.99789305848186327</v>
      </c>
    </row>
    <row r="759" spans="1:27">
      <c r="A759">
        <v>754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7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17553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79</v>
      </c>
      <c r="W759" s="22">
        <f t="shared" si="33"/>
        <v>17560</v>
      </c>
      <c r="X759" t="str">
        <f t="shared" si="34"/>
        <v>R</v>
      </c>
      <c r="Y759" s="23">
        <f t="shared" si="35"/>
        <v>0.99960136674259681</v>
      </c>
    </row>
    <row r="760" spans="1:27">
      <c r="A760">
        <v>755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17539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85</v>
      </c>
      <c r="W760" s="22">
        <f t="shared" si="33"/>
        <v>17540</v>
      </c>
      <c r="X760" t="str">
        <f t="shared" si="34"/>
        <v>R</v>
      </c>
      <c r="Y760" s="23">
        <f t="shared" si="35"/>
        <v>0.99994298745724064</v>
      </c>
    </row>
    <row r="761" spans="1:27">
      <c r="A761">
        <v>756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6</v>
      </c>
      <c r="I761">
        <v>0</v>
      </c>
      <c r="J761">
        <v>14</v>
      </c>
      <c r="K761">
        <v>1</v>
      </c>
      <c r="L761">
        <v>0</v>
      </c>
      <c r="M761">
        <v>0</v>
      </c>
      <c r="N761">
        <v>1</v>
      </c>
      <c r="O761">
        <v>17505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102</v>
      </c>
      <c r="W761" s="22">
        <f t="shared" si="33"/>
        <v>17528</v>
      </c>
      <c r="X761" t="str">
        <f t="shared" si="34"/>
        <v>Q</v>
      </c>
      <c r="Y761" s="23">
        <f t="shared" si="35"/>
        <v>0.99868781378366045</v>
      </c>
    </row>
    <row r="762" spans="1:27">
      <c r="A762">
        <v>757</v>
      </c>
      <c r="B762">
        <v>0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17465</v>
      </c>
      <c r="K762">
        <v>0</v>
      </c>
      <c r="L762">
        <v>0</v>
      </c>
      <c r="M762">
        <v>5</v>
      </c>
      <c r="N762">
        <v>0</v>
      </c>
      <c r="O762">
        <v>7</v>
      </c>
      <c r="P762">
        <v>45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109</v>
      </c>
      <c r="W762" s="22">
        <f t="shared" si="33"/>
        <v>17524</v>
      </c>
      <c r="X762" t="str">
        <f t="shared" si="34"/>
        <v>K</v>
      </c>
      <c r="Y762" s="23">
        <f t="shared" si="35"/>
        <v>0.99663318876968732</v>
      </c>
    </row>
    <row r="763" spans="1:27">
      <c r="A763">
        <v>758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23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326</v>
      </c>
      <c r="W763" s="22">
        <f t="shared" si="33"/>
        <v>23</v>
      </c>
      <c r="X763" t="str">
        <f t="shared" si="34"/>
        <v>Q</v>
      </c>
      <c r="Y763" s="23">
        <f t="shared" si="35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63"/>
  <sheetViews>
    <sheetView workbookViewId="0">
      <selection activeCell="D5" sqref="D5"/>
    </sheetView>
  </sheetViews>
  <sheetFormatPr defaultRowHeight="14.4"/>
  <sheetData>
    <row r="1" spans="1:25">
      <c r="A1" t="s">
        <v>80</v>
      </c>
    </row>
    <row r="2" spans="1:25">
      <c r="A2" t="s">
        <v>81</v>
      </c>
    </row>
    <row r="4" spans="1:25">
      <c r="A4" t="s">
        <v>77</v>
      </c>
      <c r="B4" t="s">
        <v>76</v>
      </c>
      <c r="C4" t="s">
        <v>75</v>
      </c>
      <c r="D4" t="s">
        <v>74</v>
      </c>
      <c r="E4" t="s">
        <v>73</v>
      </c>
      <c r="F4" t="s">
        <v>72</v>
      </c>
      <c r="G4" t="s">
        <v>71</v>
      </c>
      <c r="H4" t="s">
        <v>70</v>
      </c>
      <c r="I4" t="s">
        <v>69</v>
      </c>
      <c r="J4" t="s">
        <v>68</v>
      </c>
      <c r="K4" t="s">
        <v>67</v>
      </c>
      <c r="L4" t="s">
        <v>66</v>
      </c>
      <c r="M4" t="s">
        <v>65</v>
      </c>
      <c r="N4" t="s">
        <v>64</v>
      </c>
      <c r="O4" t="s">
        <v>63</v>
      </c>
      <c r="P4" t="s">
        <v>62</v>
      </c>
      <c r="Q4" t="s">
        <v>61</v>
      </c>
      <c r="R4" t="s">
        <v>60</v>
      </c>
      <c r="S4" t="s">
        <v>59</v>
      </c>
      <c r="T4" t="s">
        <v>58</v>
      </c>
      <c r="U4" t="s">
        <v>57</v>
      </c>
      <c r="V4" t="s">
        <v>56</v>
      </c>
      <c r="W4" t="s">
        <v>82</v>
      </c>
    </row>
    <row r="6" spans="1:2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4153</v>
      </c>
      <c r="M6">
        <v>2</v>
      </c>
      <c r="N6">
        <v>0</v>
      </c>
      <c r="O6">
        <v>0</v>
      </c>
      <c r="P6">
        <v>0</v>
      </c>
      <c r="Q6">
        <v>0</v>
      </c>
      <c r="R6">
        <v>2</v>
      </c>
      <c r="S6">
        <v>0</v>
      </c>
      <c r="T6">
        <v>0</v>
      </c>
      <c r="U6">
        <v>0</v>
      </c>
      <c r="V6">
        <v>474</v>
      </c>
      <c r="W6">
        <v>4158</v>
      </c>
      <c r="X6" t="s">
        <v>66</v>
      </c>
      <c r="Y6">
        <v>0.9987974987974988</v>
      </c>
    </row>
    <row r="7" spans="1:25">
      <c r="A7">
        <v>2</v>
      </c>
      <c r="B7">
        <v>2</v>
      </c>
      <c r="C7">
        <v>0</v>
      </c>
      <c r="D7">
        <v>4209</v>
      </c>
      <c r="E7">
        <v>5</v>
      </c>
      <c r="F7">
        <v>0</v>
      </c>
      <c r="G7">
        <v>7</v>
      </c>
      <c r="H7">
        <v>2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457</v>
      </c>
      <c r="W7">
        <v>4229</v>
      </c>
      <c r="X7" t="s">
        <v>74</v>
      </c>
      <c r="Y7">
        <v>0.99527074958619055</v>
      </c>
    </row>
    <row r="8" spans="1:25">
      <c r="A8">
        <v>3</v>
      </c>
      <c r="B8">
        <v>0</v>
      </c>
      <c r="C8">
        <v>1</v>
      </c>
      <c r="D8">
        <v>5</v>
      </c>
      <c r="E8">
        <v>0</v>
      </c>
      <c r="F8">
        <v>1</v>
      </c>
      <c r="G8">
        <v>0</v>
      </c>
      <c r="H8">
        <v>0</v>
      </c>
      <c r="I8">
        <v>4</v>
      </c>
      <c r="J8">
        <v>0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4214</v>
      </c>
      <c r="T8">
        <v>0</v>
      </c>
      <c r="U8">
        <v>0</v>
      </c>
      <c r="V8">
        <v>443</v>
      </c>
      <c r="W8">
        <v>4232</v>
      </c>
      <c r="X8" t="s">
        <v>59</v>
      </c>
      <c r="Y8">
        <v>0.99574669187145559</v>
      </c>
    </row>
    <row r="9" spans="1:25">
      <c r="A9">
        <v>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9</v>
      </c>
      <c r="I9">
        <v>6</v>
      </c>
      <c r="J9">
        <v>0</v>
      </c>
      <c r="K9">
        <v>0</v>
      </c>
      <c r="L9">
        <v>1</v>
      </c>
      <c r="M9">
        <v>4220</v>
      </c>
      <c r="N9">
        <v>0</v>
      </c>
      <c r="O9">
        <v>0</v>
      </c>
      <c r="P9">
        <v>0</v>
      </c>
      <c r="Q9">
        <v>1</v>
      </c>
      <c r="R9">
        <v>2</v>
      </c>
      <c r="S9">
        <v>0</v>
      </c>
      <c r="T9">
        <v>0</v>
      </c>
      <c r="U9">
        <v>2</v>
      </c>
      <c r="V9">
        <v>431</v>
      </c>
      <c r="W9">
        <v>4246</v>
      </c>
      <c r="X9" t="s">
        <v>65</v>
      </c>
      <c r="Y9">
        <v>0.99387658973151205</v>
      </c>
    </row>
    <row r="10" spans="1:25">
      <c r="A10">
        <v>5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4317</v>
      </c>
      <c r="O10">
        <v>0</v>
      </c>
      <c r="P10">
        <v>6</v>
      </c>
      <c r="Q10">
        <v>2</v>
      </c>
      <c r="R10">
        <v>0</v>
      </c>
      <c r="S10">
        <v>0</v>
      </c>
      <c r="T10">
        <v>0</v>
      </c>
      <c r="U10">
        <v>0</v>
      </c>
      <c r="V10">
        <v>354</v>
      </c>
      <c r="W10">
        <v>4332</v>
      </c>
      <c r="X10" t="s">
        <v>64</v>
      </c>
      <c r="Y10">
        <v>0.99653739612188363</v>
      </c>
    </row>
    <row r="11" spans="1:25">
      <c r="A11">
        <v>6</v>
      </c>
      <c r="B11">
        <v>3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3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2</v>
      </c>
      <c r="R11">
        <v>4325</v>
      </c>
      <c r="S11">
        <v>0</v>
      </c>
      <c r="T11">
        <v>0</v>
      </c>
      <c r="U11">
        <v>0</v>
      </c>
      <c r="V11">
        <v>345</v>
      </c>
      <c r="W11">
        <v>4344</v>
      </c>
      <c r="X11" t="s">
        <v>60</v>
      </c>
      <c r="Y11">
        <v>0.99562615101289131</v>
      </c>
    </row>
    <row r="12" spans="1:25">
      <c r="A12">
        <v>7</v>
      </c>
      <c r="B12">
        <v>0</v>
      </c>
      <c r="C12">
        <v>0</v>
      </c>
      <c r="D12">
        <v>1</v>
      </c>
      <c r="E12">
        <v>1</v>
      </c>
      <c r="F12">
        <v>4</v>
      </c>
      <c r="G12">
        <v>0</v>
      </c>
      <c r="H12">
        <v>0</v>
      </c>
      <c r="I12">
        <v>1</v>
      </c>
      <c r="J12">
        <v>0</v>
      </c>
      <c r="K12">
        <v>4338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318</v>
      </c>
      <c r="W12">
        <v>4354</v>
      </c>
      <c r="X12" t="s">
        <v>67</v>
      </c>
      <c r="Y12">
        <v>0.99632521819016995</v>
      </c>
    </row>
    <row r="13" spans="1:25">
      <c r="A13">
        <v>8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4373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2</v>
      </c>
      <c r="T13">
        <v>0</v>
      </c>
      <c r="U13">
        <v>0</v>
      </c>
      <c r="V13">
        <v>297</v>
      </c>
      <c r="W13">
        <v>4386</v>
      </c>
      <c r="X13" t="s">
        <v>67</v>
      </c>
      <c r="Y13">
        <v>0.99703602371181033</v>
      </c>
    </row>
    <row r="14" spans="1:25">
      <c r="A14">
        <v>9</v>
      </c>
      <c r="B14">
        <v>0</v>
      </c>
      <c r="C14">
        <v>0</v>
      </c>
      <c r="D14">
        <v>0</v>
      </c>
      <c r="E14">
        <v>0</v>
      </c>
      <c r="F14">
        <v>4377</v>
      </c>
      <c r="G14">
        <v>0</v>
      </c>
      <c r="H14">
        <v>0</v>
      </c>
      <c r="I14">
        <v>0</v>
      </c>
      <c r="J14">
        <v>0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294</v>
      </c>
      <c r="W14">
        <v>4391</v>
      </c>
      <c r="X14" t="s">
        <v>72</v>
      </c>
      <c r="Y14">
        <v>0.99681166021407419</v>
      </c>
    </row>
    <row r="15" spans="1:25">
      <c r="A15">
        <v>10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4351</v>
      </c>
      <c r="L15">
        <v>1</v>
      </c>
      <c r="M15">
        <v>0</v>
      </c>
      <c r="N15">
        <v>0</v>
      </c>
      <c r="O15">
        <v>0</v>
      </c>
      <c r="P15">
        <v>0</v>
      </c>
      <c r="Q15">
        <v>3</v>
      </c>
      <c r="R15">
        <v>0</v>
      </c>
      <c r="S15">
        <v>3</v>
      </c>
      <c r="T15">
        <v>1</v>
      </c>
      <c r="U15">
        <v>0</v>
      </c>
      <c r="V15">
        <v>293</v>
      </c>
      <c r="W15">
        <v>4370</v>
      </c>
      <c r="X15" t="s">
        <v>67</v>
      </c>
      <c r="Y15">
        <v>0.9956521739130435</v>
      </c>
    </row>
    <row r="16" spans="1:25">
      <c r="A16">
        <v>11</v>
      </c>
      <c r="B16">
        <v>1</v>
      </c>
      <c r="C16">
        <v>1</v>
      </c>
      <c r="D16">
        <v>0</v>
      </c>
      <c r="E16">
        <v>11</v>
      </c>
      <c r="F16">
        <v>0</v>
      </c>
      <c r="G16">
        <v>0</v>
      </c>
      <c r="H16">
        <v>0</v>
      </c>
      <c r="I16">
        <v>2</v>
      </c>
      <c r="J16">
        <v>4329</v>
      </c>
      <c r="K16">
        <v>1</v>
      </c>
      <c r="L16">
        <v>0</v>
      </c>
      <c r="M16">
        <v>2</v>
      </c>
      <c r="N16">
        <v>0</v>
      </c>
      <c r="O16">
        <v>0</v>
      </c>
      <c r="P16">
        <v>15</v>
      </c>
      <c r="Q16">
        <v>1</v>
      </c>
      <c r="R16">
        <v>1</v>
      </c>
      <c r="S16">
        <v>0</v>
      </c>
      <c r="T16">
        <v>0</v>
      </c>
      <c r="U16">
        <v>0</v>
      </c>
      <c r="V16">
        <v>283</v>
      </c>
      <c r="W16">
        <v>4375</v>
      </c>
      <c r="X16" t="s">
        <v>68</v>
      </c>
      <c r="Y16">
        <v>0.9894857142857143</v>
      </c>
    </row>
    <row r="17" spans="1:27">
      <c r="A17">
        <v>12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130</v>
      </c>
      <c r="J17">
        <v>0</v>
      </c>
      <c r="K17">
        <v>4</v>
      </c>
      <c r="L17">
        <v>20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4256</v>
      </c>
      <c r="T17">
        <v>0</v>
      </c>
      <c r="U17">
        <v>0</v>
      </c>
      <c r="V17">
        <v>273</v>
      </c>
      <c r="W17">
        <v>4424</v>
      </c>
      <c r="X17" t="s">
        <v>59</v>
      </c>
      <c r="Y17">
        <v>0.96202531645569622</v>
      </c>
      <c r="AA17">
        <v>2.938517179023508E-2</v>
      </c>
    </row>
    <row r="18" spans="1:27">
      <c r="A18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4419</v>
      </c>
      <c r="O18">
        <v>0</v>
      </c>
      <c r="P18">
        <v>0</v>
      </c>
      <c r="Q18">
        <v>9</v>
      </c>
      <c r="R18">
        <v>0</v>
      </c>
      <c r="S18">
        <v>0</v>
      </c>
      <c r="T18">
        <v>0</v>
      </c>
      <c r="U18">
        <v>0</v>
      </c>
      <c r="V18">
        <v>258</v>
      </c>
      <c r="W18">
        <v>4443</v>
      </c>
      <c r="X18" t="s">
        <v>64</v>
      </c>
      <c r="Y18">
        <v>0.99459824442943956</v>
      </c>
    </row>
    <row r="19" spans="1:27">
      <c r="A19">
        <v>14</v>
      </c>
      <c r="B19">
        <v>2174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2</v>
      </c>
      <c r="S19">
        <v>2249</v>
      </c>
      <c r="T19">
        <v>0</v>
      </c>
      <c r="U19">
        <v>0</v>
      </c>
      <c r="V19">
        <v>250</v>
      </c>
      <c r="W19">
        <v>4442</v>
      </c>
      <c r="X19" t="s">
        <v>59</v>
      </c>
      <c r="Y19">
        <v>0.50630346690679873</v>
      </c>
      <c r="AA19">
        <v>0.48941918054930211</v>
      </c>
    </row>
    <row r="20" spans="1:27">
      <c r="A20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4450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230</v>
      </c>
      <c r="W20">
        <v>4470</v>
      </c>
      <c r="X20" t="s">
        <v>63</v>
      </c>
      <c r="Y20">
        <v>0.99552572706935127</v>
      </c>
    </row>
    <row r="21" spans="1:27">
      <c r="A21">
        <v>16</v>
      </c>
      <c r="B21">
        <v>0</v>
      </c>
      <c r="C21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4306</v>
      </c>
      <c r="N21">
        <v>0</v>
      </c>
      <c r="O21">
        <v>0</v>
      </c>
      <c r="P21">
        <v>0</v>
      </c>
      <c r="Q21">
        <v>154</v>
      </c>
      <c r="R21">
        <v>0</v>
      </c>
      <c r="S21">
        <v>0</v>
      </c>
      <c r="T21">
        <v>0</v>
      </c>
      <c r="U21">
        <v>1</v>
      </c>
      <c r="V21">
        <v>218</v>
      </c>
      <c r="W21">
        <v>4482</v>
      </c>
      <c r="X21" t="s">
        <v>65</v>
      </c>
      <c r="Y21">
        <v>0.96073181615350289</v>
      </c>
    </row>
    <row r="22" spans="1:27">
      <c r="A22">
        <v>17</v>
      </c>
      <c r="B22">
        <v>4464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219</v>
      </c>
      <c r="W22">
        <v>4481</v>
      </c>
      <c r="X22" t="s">
        <v>76</v>
      </c>
      <c r="Y22">
        <v>0.99620620397232762</v>
      </c>
    </row>
    <row r="23" spans="1:27">
      <c r="A23">
        <v>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4451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18</v>
      </c>
      <c r="T23">
        <v>0</v>
      </c>
      <c r="U23">
        <v>0</v>
      </c>
      <c r="V23">
        <v>211</v>
      </c>
      <c r="W23">
        <v>4487</v>
      </c>
      <c r="X23" t="s">
        <v>69</v>
      </c>
      <c r="Y23">
        <v>0.99197682193002001</v>
      </c>
    </row>
    <row r="24" spans="1:27">
      <c r="A24">
        <v>19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4471</v>
      </c>
      <c r="R24">
        <v>0</v>
      </c>
      <c r="S24">
        <v>0</v>
      </c>
      <c r="T24">
        <v>0</v>
      </c>
      <c r="U24">
        <v>0</v>
      </c>
      <c r="V24">
        <v>210</v>
      </c>
      <c r="W24">
        <v>4492</v>
      </c>
      <c r="X24" t="s">
        <v>61</v>
      </c>
      <c r="Y24">
        <v>0.99532502226179875</v>
      </c>
    </row>
    <row r="25" spans="1:27">
      <c r="A25">
        <v>20</v>
      </c>
      <c r="B25">
        <v>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294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4164</v>
      </c>
      <c r="S25">
        <v>0</v>
      </c>
      <c r="T25">
        <v>0</v>
      </c>
      <c r="U25">
        <v>0</v>
      </c>
      <c r="V25">
        <v>209</v>
      </c>
      <c r="W25">
        <v>4488</v>
      </c>
      <c r="X25" t="s">
        <v>60</v>
      </c>
      <c r="Y25">
        <v>0.92780748663101609</v>
      </c>
    </row>
    <row r="26" spans="1:27">
      <c r="A26">
        <v>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P26">
        <v>1</v>
      </c>
      <c r="Q26">
        <v>1</v>
      </c>
      <c r="R26">
        <v>4473</v>
      </c>
      <c r="S26">
        <v>0</v>
      </c>
      <c r="T26">
        <v>0</v>
      </c>
      <c r="U26">
        <v>0</v>
      </c>
      <c r="V26">
        <v>200</v>
      </c>
      <c r="W26">
        <v>4499</v>
      </c>
      <c r="X26" t="s">
        <v>60</v>
      </c>
      <c r="Y26">
        <v>0.99422093798621913</v>
      </c>
    </row>
    <row r="27" spans="1:27">
      <c r="A27">
        <v>22</v>
      </c>
      <c r="B27">
        <v>0</v>
      </c>
      <c r="C27">
        <v>0</v>
      </c>
      <c r="D27">
        <v>0</v>
      </c>
      <c r="E27">
        <v>0</v>
      </c>
      <c r="F27">
        <v>4487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199</v>
      </c>
      <c r="W27">
        <v>4509</v>
      </c>
      <c r="X27" t="s">
        <v>72</v>
      </c>
      <c r="Y27">
        <v>0.99512086937236632</v>
      </c>
    </row>
    <row r="28" spans="1:27">
      <c r="A28">
        <v>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0</v>
      </c>
      <c r="M28">
        <v>0</v>
      </c>
      <c r="N28">
        <v>4483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199</v>
      </c>
      <c r="W28">
        <v>4511</v>
      </c>
      <c r="X28" t="s">
        <v>64</v>
      </c>
      <c r="Y28">
        <v>0.99379295056528483</v>
      </c>
    </row>
    <row r="29" spans="1:27">
      <c r="A29">
        <v>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>
        <v>0</v>
      </c>
      <c r="U29">
        <v>4484</v>
      </c>
      <c r="V29">
        <v>199</v>
      </c>
      <c r="W29">
        <v>4510</v>
      </c>
      <c r="X29" t="s">
        <v>57</v>
      </c>
      <c r="Y29">
        <v>0.99423503325942353</v>
      </c>
    </row>
    <row r="30" spans="1:27">
      <c r="A30">
        <v>25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2</v>
      </c>
      <c r="R30">
        <v>4479</v>
      </c>
      <c r="S30">
        <v>0</v>
      </c>
      <c r="T30">
        <v>0</v>
      </c>
      <c r="U30">
        <v>0</v>
      </c>
      <c r="V30">
        <v>199</v>
      </c>
      <c r="W30">
        <v>4508</v>
      </c>
      <c r="X30" t="s">
        <v>60</v>
      </c>
      <c r="Y30">
        <v>0.99356699201419696</v>
      </c>
    </row>
    <row r="31" spans="1:27">
      <c r="A31">
        <v>26</v>
      </c>
      <c r="B31">
        <v>0</v>
      </c>
      <c r="C31">
        <v>0</v>
      </c>
      <c r="D31">
        <v>0</v>
      </c>
      <c r="E31">
        <v>0</v>
      </c>
      <c r="F31">
        <v>0</v>
      </c>
      <c r="G31">
        <v>4488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198</v>
      </c>
      <c r="W31">
        <v>4514</v>
      </c>
      <c r="X31" t="s">
        <v>71</v>
      </c>
      <c r="Y31">
        <v>0.99424014178112541</v>
      </c>
    </row>
    <row r="32" spans="1:27">
      <c r="A32">
        <v>27</v>
      </c>
      <c r="B32">
        <v>3</v>
      </c>
      <c r="C32">
        <v>0</v>
      </c>
      <c r="D32">
        <v>4485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197</v>
      </c>
      <c r="W32">
        <v>4517</v>
      </c>
      <c r="X32" t="s">
        <v>74</v>
      </c>
      <c r="Y32">
        <v>0.99291565198140364</v>
      </c>
    </row>
    <row r="33" spans="1:25">
      <c r="A33">
        <v>28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4488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197</v>
      </c>
      <c r="W33">
        <v>4519</v>
      </c>
      <c r="X33" t="s">
        <v>64</v>
      </c>
      <c r="Y33">
        <v>0.9931400752378845</v>
      </c>
    </row>
    <row r="34" spans="1:25">
      <c r="A34">
        <v>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4491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196</v>
      </c>
      <c r="W34">
        <v>4521</v>
      </c>
      <c r="X34" t="s">
        <v>64</v>
      </c>
      <c r="Y34">
        <v>0.99336429993364295</v>
      </c>
    </row>
    <row r="35" spans="1:25">
      <c r="A35">
        <v>30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4487</v>
      </c>
      <c r="V35">
        <v>196</v>
      </c>
      <c r="W35">
        <v>4521</v>
      </c>
      <c r="X35" t="s">
        <v>57</v>
      </c>
      <c r="Y35">
        <v>0.99247953992479543</v>
      </c>
    </row>
    <row r="36" spans="1:25">
      <c r="A36">
        <v>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4489</v>
      </c>
      <c r="R36">
        <v>3</v>
      </c>
      <c r="S36">
        <v>0</v>
      </c>
      <c r="T36">
        <v>0</v>
      </c>
      <c r="U36">
        <v>0</v>
      </c>
      <c r="V36">
        <v>196</v>
      </c>
      <c r="W36">
        <v>4523</v>
      </c>
      <c r="X36" t="s">
        <v>61</v>
      </c>
      <c r="Y36">
        <v>0.99248286535485297</v>
      </c>
    </row>
    <row r="37" spans="1:25">
      <c r="A37">
        <v>32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4485</v>
      </c>
      <c r="I37">
        <v>0</v>
      </c>
      <c r="J37">
        <v>0</v>
      </c>
      <c r="K37">
        <v>0</v>
      </c>
      <c r="L37">
        <v>0</v>
      </c>
      <c r="M37">
        <v>1</v>
      </c>
      <c r="N37">
        <v>5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183</v>
      </c>
      <c r="W37">
        <v>4524</v>
      </c>
      <c r="X37" t="s">
        <v>70</v>
      </c>
      <c r="Y37">
        <v>0.99137931034482762</v>
      </c>
    </row>
    <row r="38" spans="1:25">
      <c r="A38">
        <v>33</v>
      </c>
      <c r="B38">
        <v>0</v>
      </c>
      <c r="C38">
        <v>0</v>
      </c>
      <c r="D38">
        <v>1</v>
      </c>
      <c r="E38">
        <v>0</v>
      </c>
      <c r="F38">
        <v>0</v>
      </c>
      <c r="G38">
        <v>4501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</v>
      </c>
      <c r="T38">
        <v>0</v>
      </c>
      <c r="U38">
        <v>0</v>
      </c>
      <c r="V38">
        <v>183</v>
      </c>
      <c r="W38">
        <v>4537</v>
      </c>
      <c r="X38" t="s">
        <v>71</v>
      </c>
      <c r="Y38">
        <v>0.99206524134890894</v>
      </c>
    </row>
    <row r="39" spans="1:25">
      <c r="A39">
        <v>34</v>
      </c>
      <c r="B39">
        <v>1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2</v>
      </c>
      <c r="Q39">
        <v>0</v>
      </c>
      <c r="R39">
        <v>4500</v>
      </c>
      <c r="S39">
        <v>0</v>
      </c>
      <c r="T39">
        <v>0</v>
      </c>
      <c r="U39">
        <v>0</v>
      </c>
      <c r="V39">
        <v>183</v>
      </c>
      <c r="W39">
        <v>4539</v>
      </c>
      <c r="X39" t="s">
        <v>60</v>
      </c>
      <c r="Y39">
        <v>0.99140779907468601</v>
      </c>
    </row>
    <row r="40" spans="1:25">
      <c r="A40">
        <v>35</v>
      </c>
      <c r="B40">
        <v>0</v>
      </c>
      <c r="C40">
        <v>0</v>
      </c>
      <c r="D40">
        <v>0</v>
      </c>
      <c r="E40">
        <v>0</v>
      </c>
      <c r="F40">
        <v>0</v>
      </c>
      <c r="G40">
        <v>4500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</v>
      </c>
      <c r="Q40">
        <v>0</v>
      </c>
      <c r="R40">
        <v>0</v>
      </c>
      <c r="S40">
        <v>0</v>
      </c>
      <c r="T40">
        <v>0</v>
      </c>
      <c r="U40">
        <v>0</v>
      </c>
      <c r="V40">
        <v>182</v>
      </c>
      <c r="W40">
        <v>4539</v>
      </c>
      <c r="X40" t="s">
        <v>71</v>
      </c>
      <c r="Y40">
        <v>0.99140779907468601</v>
      </c>
    </row>
    <row r="41" spans="1:25">
      <c r="A41">
        <v>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4502</v>
      </c>
      <c r="S41">
        <v>0</v>
      </c>
      <c r="T41">
        <v>0</v>
      </c>
      <c r="U41">
        <v>0</v>
      </c>
      <c r="V41">
        <v>179</v>
      </c>
      <c r="W41">
        <v>4539</v>
      </c>
      <c r="X41" t="s">
        <v>60</v>
      </c>
      <c r="Y41">
        <v>0.99184842476316371</v>
      </c>
    </row>
    <row r="42" spans="1:25">
      <c r="A42">
        <v>37</v>
      </c>
      <c r="B42">
        <v>0</v>
      </c>
      <c r="C42">
        <v>0</v>
      </c>
      <c r="D42">
        <v>0</v>
      </c>
      <c r="E42">
        <v>0</v>
      </c>
      <c r="F42">
        <v>0</v>
      </c>
      <c r="G42">
        <v>4505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178</v>
      </c>
      <c r="W42">
        <v>4544</v>
      </c>
      <c r="X42" t="s">
        <v>71</v>
      </c>
      <c r="Y42">
        <v>0.99141725352112675</v>
      </c>
    </row>
    <row r="43" spans="1:25">
      <c r="A43">
        <v>38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4504</v>
      </c>
      <c r="V43">
        <v>177</v>
      </c>
      <c r="W43">
        <v>4548</v>
      </c>
      <c r="X43" t="s">
        <v>57</v>
      </c>
      <c r="Y43">
        <v>0.99032541776605099</v>
      </c>
    </row>
    <row r="44" spans="1:25">
      <c r="A44">
        <v>39</v>
      </c>
      <c r="B44">
        <v>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2</v>
      </c>
      <c r="R44">
        <v>4497</v>
      </c>
      <c r="S44">
        <v>0</v>
      </c>
      <c r="T44">
        <v>0</v>
      </c>
      <c r="U44">
        <v>0</v>
      </c>
      <c r="V44">
        <v>177</v>
      </c>
      <c r="W44">
        <v>4543</v>
      </c>
      <c r="X44" t="s">
        <v>60</v>
      </c>
      <c r="Y44">
        <v>0.98987453224741362</v>
      </c>
    </row>
    <row r="45" spans="1:25">
      <c r="A45">
        <v>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28</v>
      </c>
      <c r="J45">
        <v>1</v>
      </c>
      <c r="K45">
        <v>3</v>
      </c>
      <c r="L45">
        <v>4476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</v>
      </c>
      <c r="T45">
        <v>0</v>
      </c>
      <c r="U45">
        <v>0</v>
      </c>
      <c r="V45">
        <v>175</v>
      </c>
      <c r="W45">
        <v>4552</v>
      </c>
      <c r="X45" t="s">
        <v>66</v>
      </c>
      <c r="Y45">
        <v>0.98330404217926182</v>
      </c>
    </row>
    <row r="46" spans="1:25">
      <c r="A46">
        <v>41</v>
      </c>
      <c r="B46">
        <v>0</v>
      </c>
      <c r="C46">
        <v>1</v>
      </c>
      <c r="D46">
        <v>4507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175</v>
      </c>
      <c r="W46">
        <v>4553</v>
      </c>
      <c r="X46" t="s">
        <v>74</v>
      </c>
      <c r="Y46">
        <v>0.98989677135954313</v>
      </c>
    </row>
    <row r="47" spans="1:25">
      <c r="A47">
        <v>42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4506</v>
      </c>
      <c r="S47">
        <v>0</v>
      </c>
      <c r="T47">
        <v>0</v>
      </c>
      <c r="U47">
        <v>0</v>
      </c>
      <c r="V47">
        <v>174</v>
      </c>
      <c r="W47">
        <v>4551</v>
      </c>
      <c r="X47" t="s">
        <v>60</v>
      </c>
      <c r="Y47">
        <v>0.990112063282795</v>
      </c>
    </row>
    <row r="48" spans="1:25">
      <c r="A48">
        <v>43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4504</v>
      </c>
      <c r="T48">
        <v>0</v>
      </c>
      <c r="U48">
        <v>0</v>
      </c>
      <c r="V48">
        <v>175</v>
      </c>
      <c r="W48">
        <v>4550</v>
      </c>
      <c r="X48" t="s">
        <v>59</v>
      </c>
      <c r="Y48">
        <v>0.98989010989010984</v>
      </c>
    </row>
    <row r="49" spans="1:27">
      <c r="A49">
        <v>44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4495</v>
      </c>
      <c r="N49">
        <v>0</v>
      </c>
      <c r="O49">
        <v>0</v>
      </c>
      <c r="P49">
        <v>0</v>
      </c>
      <c r="Q49">
        <v>4</v>
      </c>
      <c r="R49">
        <v>12</v>
      </c>
      <c r="S49">
        <v>0</v>
      </c>
      <c r="T49">
        <v>0</v>
      </c>
      <c r="U49">
        <v>0</v>
      </c>
      <c r="V49">
        <v>175</v>
      </c>
      <c r="W49">
        <v>4556</v>
      </c>
      <c r="X49" t="s">
        <v>65</v>
      </c>
      <c r="Y49">
        <v>0.98661106233538187</v>
      </c>
    </row>
    <row r="50" spans="1:27">
      <c r="A50">
        <v>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4510</v>
      </c>
      <c r="Q50">
        <v>0</v>
      </c>
      <c r="R50">
        <v>0</v>
      </c>
      <c r="S50">
        <v>0</v>
      </c>
      <c r="T50">
        <v>0</v>
      </c>
      <c r="U50">
        <v>0</v>
      </c>
      <c r="V50">
        <v>175</v>
      </c>
      <c r="W50">
        <v>4556</v>
      </c>
      <c r="X50" t="s">
        <v>62</v>
      </c>
      <c r="Y50">
        <v>0.98990342405618958</v>
      </c>
    </row>
    <row r="51" spans="1:27">
      <c r="A51">
        <v>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4512</v>
      </c>
      <c r="S51">
        <v>0</v>
      </c>
      <c r="T51">
        <v>0</v>
      </c>
      <c r="U51">
        <v>0</v>
      </c>
      <c r="V51">
        <v>175</v>
      </c>
      <c r="W51">
        <v>4558</v>
      </c>
      <c r="X51" t="s">
        <v>60</v>
      </c>
      <c r="Y51">
        <v>0.98990785432207107</v>
      </c>
    </row>
    <row r="52" spans="1:27">
      <c r="A52">
        <v>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4507</v>
      </c>
      <c r="I52">
        <v>0</v>
      </c>
      <c r="J52">
        <v>0</v>
      </c>
      <c r="K52">
        <v>0</v>
      </c>
      <c r="L52">
        <v>0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174</v>
      </c>
      <c r="W52">
        <v>4557</v>
      </c>
      <c r="X52" t="s">
        <v>70</v>
      </c>
      <c r="Y52">
        <v>0.98902786921220098</v>
      </c>
    </row>
    <row r="53" spans="1:27">
      <c r="A53">
        <v>48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2425</v>
      </c>
      <c r="K53">
        <v>0</v>
      </c>
      <c r="L53">
        <v>0</v>
      </c>
      <c r="M53">
        <v>0</v>
      </c>
      <c r="N53">
        <v>0</v>
      </c>
      <c r="O53">
        <v>2076</v>
      </c>
      <c r="P53">
        <v>8</v>
      </c>
      <c r="Q53">
        <v>0</v>
      </c>
      <c r="R53">
        <v>0</v>
      </c>
      <c r="S53">
        <v>0</v>
      </c>
      <c r="T53">
        <v>0</v>
      </c>
      <c r="U53">
        <v>0</v>
      </c>
      <c r="V53">
        <v>174</v>
      </c>
      <c r="W53">
        <v>4558</v>
      </c>
      <c r="X53" t="s">
        <v>68</v>
      </c>
      <c r="Y53">
        <v>0.53203159280386136</v>
      </c>
      <c r="AA53">
        <v>0.4554629223343572</v>
      </c>
    </row>
    <row r="54" spans="1:27">
      <c r="A54">
        <v>49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4508</v>
      </c>
      <c r="V54">
        <v>174</v>
      </c>
      <c r="W54">
        <v>4559</v>
      </c>
      <c r="X54" t="s">
        <v>57</v>
      </c>
      <c r="Y54">
        <v>0.98881333625795131</v>
      </c>
    </row>
    <row r="55" spans="1:27">
      <c r="A55">
        <v>50</v>
      </c>
      <c r="B55">
        <v>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4499</v>
      </c>
      <c r="R55">
        <v>0</v>
      </c>
      <c r="S55">
        <v>0</v>
      </c>
      <c r="T55">
        <v>0</v>
      </c>
      <c r="U55">
        <v>0</v>
      </c>
      <c r="V55">
        <v>174</v>
      </c>
      <c r="W55">
        <v>4554</v>
      </c>
      <c r="X55" t="s">
        <v>61</v>
      </c>
      <c r="Y55">
        <v>0.98792270531400961</v>
      </c>
    </row>
    <row r="56" spans="1:27">
      <c r="A56">
        <v>51</v>
      </c>
      <c r="B56">
        <v>0</v>
      </c>
      <c r="C56">
        <v>0</v>
      </c>
      <c r="D56">
        <v>0</v>
      </c>
      <c r="E56">
        <v>4493</v>
      </c>
      <c r="F56">
        <v>0</v>
      </c>
      <c r="G56">
        <v>3</v>
      </c>
      <c r="H56">
        <v>0</v>
      </c>
      <c r="I56">
        <v>0</v>
      </c>
      <c r="J56">
        <v>6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174</v>
      </c>
      <c r="W56">
        <v>4554</v>
      </c>
      <c r="X56" t="s">
        <v>73</v>
      </c>
      <c r="Y56">
        <v>0.98660518225735616</v>
      </c>
    </row>
    <row r="57" spans="1:27">
      <c r="A57">
        <v>52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0</v>
      </c>
      <c r="J57">
        <v>3800</v>
      </c>
      <c r="K57">
        <v>0</v>
      </c>
      <c r="L57">
        <v>0</v>
      </c>
      <c r="M57">
        <v>462</v>
      </c>
      <c r="N57">
        <v>0</v>
      </c>
      <c r="O57">
        <v>0</v>
      </c>
      <c r="P57">
        <v>242</v>
      </c>
      <c r="Q57">
        <v>1</v>
      </c>
      <c r="R57">
        <v>0</v>
      </c>
      <c r="S57">
        <v>0</v>
      </c>
      <c r="T57">
        <v>0</v>
      </c>
      <c r="U57">
        <v>0</v>
      </c>
      <c r="V57">
        <v>173</v>
      </c>
      <c r="W57">
        <v>4559</v>
      </c>
      <c r="X57" t="s">
        <v>68</v>
      </c>
      <c r="Y57">
        <v>0.83351612195656943</v>
      </c>
    </row>
    <row r="58" spans="1:27">
      <c r="A58">
        <v>53</v>
      </c>
      <c r="B58">
        <v>0</v>
      </c>
      <c r="C58">
        <v>0</v>
      </c>
      <c r="D58">
        <v>0</v>
      </c>
      <c r="E58">
        <v>0</v>
      </c>
      <c r="F58">
        <v>0</v>
      </c>
      <c r="G58">
        <v>4511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173</v>
      </c>
      <c r="W58">
        <v>4565</v>
      </c>
      <c r="X58" t="s">
        <v>71</v>
      </c>
      <c r="Y58">
        <v>0.98817086527929898</v>
      </c>
    </row>
    <row r="59" spans="1:27">
      <c r="A59">
        <v>54</v>
      </c>
      <c r="B59">
        <v>0</v>
      </c>
      <c r="C59">
        <v>0</v>
      </c>
      <c r="D59">
        <v>0</v>
      </c>
      <c r="E59">
        <v>3</v>
      </c>
      <c r="F59">
        <v>0</v>
      </c>
      <c r="G59">
        <v>1</v>
      </c>
      <c r="H59">
        <v>0</v>
      </c>
      <c r="I59">
        <v>3</v>
      </c>
      <c r="J59">
        <v>3828</v>
      </c>
      <c r="K59">
        <v>0</v>
      </c>
      <c r="L59">
        <v>0</v>
      </c>
      <c r="M59">
        <v>3</v>
      </c>
      <c r="N59">
        <v>0</v>
      </c>
      <c r="O59">
        <v>0</v>
      </c>
      <c r="P59">
        <v>652</v>
      </c>
      <c r="Q59">
        <v>0</v>
      </c>
      <c r="R59">
        <v>3</v>
      </c>
      <c r="S59">
        <v>0</v>
      </c>
      <c r="T59">
        <v>0</v>
      </c>
      <c r="U59">
        <v>0</v>
      </c>
      <c r="V59">
        <v>173</v>
      </c>
      <c r="W59">
        <v>4547</v>
      </c>
      <c r="X59" t="s">
        <v>68</v>
      </c>
      <c r="Y59">
        <v>0.84187376292060701</v>
      </c>
    </row>
    <row r="60" spans="1:27">
      <c r="A60">
        <v>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4510</v>
      </c>
      <c r="U60">
        <v>0</v>
      </c>
      <c r="V60">
        <v>173</v>
      </c>
      <c r="W60">
        <v>4567</v>
      </c>
      <c r="X60" t="s">
        <v>58</v>
      </c>
      <c r="Y60">
        <v>0.98751915918546096</v>
      </c>
    </row>
    <row r="61" spans="1:27">
      <c r="A61">
        <v>56</v>
      </c>
      <c r="B61">
        <v>284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</v>
      </c>
      <c r="J61">
        <v>18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1</v>
      </c>
      <c r="R61">
        <v>4196</v>
      </c>
      <c r="S61">
        <v>1</v>
      </c>
      <c r="T61">
        <v>0</v>
      </c>
      <c r="U61">
        <v>0</v>
      </c>
      <c r="V61">
        <v>173</v>
      </c>
      <c r="W61">
        <v>4561</v>
      </c>
      <c r="X61" t="s">
        <v>60</v>
      </c>
      <c r="Y61">
        <v>0.91997368998026752</v>
      </c>
      <c r="AA61">
        <v>6.2267046700285024E-2</v>
      </c>
    </row>
    <row r="62" spans="1:27">
      <c r="A62">
        <v>57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309</v>
      </c>
      <c r="J62">
        <v>7</v>
      </c>
      <c r="K62">
        <v>1</v>
      </c>
      <c r="L62">
        <v>65</v>
      </c>
      <c r="M62">
        <v>0</v>
      </c>
      <c r="N62">
        <v>0</v>
      </c>
      <c r="O62">
        <v>0</v>
      </c>
      <c r="P62">
        <v>2</v>
      </c>
      <c r="Q62">
        <v>0</v>
      </c>
      <c r="R62">
        <v>4116</v>
      </c>
      <c r="S62">
        <v>5</v>
      </c>
      <c r="T62">
        <v>0</v>
      </c>
      <c r="U62">
        <v>0</v>
      </c>
      <c r="V62">
        <v>173</v>
      </c>
      <c r="W62">
        <v>4567</v>
      </c>
      <c r="X62" t="s">
        <v>60</v>
      </c>
      <c r="Y62">
        <v>0.90124808408145396</v>
      </c>
      <c r="AA62">
        <v>1.4232537770965623E-2</v>
      </c>
    </row>
    <row r="63" spans="1:27">
      <c r="A63">
        <v>58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4500</v>
      </c>
      <c r="N63">
        <v>0</v>
      </c>
      <c r="O63">
        <v>0</v>
      </c>
      <c r="P63">
        <v>0</v>
      </c>
      <c r="Q63">
        <v>10</v>
      </c>
      <c r="R63">
        <v>1</v>
      </c>
      <c r="S63">
        <v>0</v>
      </c>
      <c r="T63">
        <v>0</v>
      </c>
      <c r="U63">
        <v>0</v>
      </c>
      <c r="V63">
        <v>173</v>
      </c>
      <c r="W63">
        <v>4570</v>
      </c>
      <c r="X63" t="s">
        <v>65</v>
      </c>
      <c r="Y63">
        <v>0.98468271334792123</v>
      </c>
    </row>
    <row r="64" spans="1:27">
      <c r="A64">
        <v>59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</v>
      </c>
      <c r="J64">
        <v>0</v>
      </c>
      <c r="K64">
        <v>1</v>
      </c>
      <c r="L64">
        <v>1</v>
      </c>
      <c r="M64">
        <v>0</v>
      </c>
      <c r="N64">
        <v>1</v>
      </c>
      <c r="O64">
        <v>0</v>
      </c>
      <c r="P64">
        <v>0</v>
      </c>
      <c r="Q64">
        <v>55</v>
      </c>
      <c r="R64">
        <v>4443</v>
      </c>
      <c r="S64">
        <v>0</v>
      </c>
      <c r="T64">
        <v>0</v>
      </c>
      <c r="U64">
        <v>0</v>
      </c>
      <c r="V64">
        <v>173</v>
      </c>
      <c r="W64">
        <v>4564</v>
      </c>
      <c r="X64" t="s">
        <v>60</v>
      </c>
      <c r="Y64">
        <v>0.97348816827344431</v>
      </c>
    </row>
    <row r="65" spans="1:25">
      <c r="A65">
        <v>60</v>
      </c>
      <c r="B65">
        <v>0</v>
      </c>
      <c r="C65">
        <v>0</v>
      </c>
      <c r="D65">
        <v>2</v>
      </c>
      <c r="E65">
        <v>4497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173</v>
      </c>
      <c r="W65">
        <v>4562</v>
      </c>
      <c r="X65" t="s">
        <v>73</v>
      </c>
      <c r="Y65">
        <v>0.98575186321788688</v>
      </c>
    </row>
    <row r="66" spans="1:25">
      <c r="A66">
        <v>61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4510</v>
      </c>
      <c r="S66">
        <v>0</v>
      </c>
      <c r="T66">
        <v>0</v>
      </c>
      <c r="U66">
        <v>0</v>
      </c>
      <c r="V66">
        <v>164</v>
      </c>
      <c r="W66">
        <v>4574</v>
      </c>
      <c r="X66" t="s">
        <v>60</v>
      </c>
      <c r="Y66">
        <v>0.98600787057280281</v>
      </c>
    </row>
    <row r="67" spans="1:25">
      <c r="A67">
        <v>62</v>
      </c>
      <c r="B67">
        <v>0</v>
      </c>
      <c r="C67">
        <v>0</v>
      </c>
      <c r="D67">
        <v>0</v>
      </c>
      <c r="E67">
        <v>18</v>
      </c>
      <c r="F67">
        <v>0</v>
      </c>
      <c r="G67">
        <v>4233</v>
      </c>
      <c r="H67">
        <v>0</v>
      </c>
      <c r="I67">
        <v>0</v>
      </c>
      <c r="J67">
        <v>275</v>
      </c>
      <c r="K67">
        <v>0</v>
      </c>
      <c r="L67">
        <v>0</v>
      </c>
      <c r="M67">
        <v>6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152</v>
      </c>
      <c r="W67">
        <v>4595</v>
      </c>
      <c r="X67" t="s">
        <v>71</v>
      </c>
      <c r="Y67">
        <v>0.92121871599564742</v>
      </c>
    </row>
    <row r="68" spans="1:25">
      <c r="A68">
        <v>63</v>
      </c>
      <c r="B68">
        <v>4531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2</v>
      </c>
      <c r="T68">
        <v>0</v>
      </c>
      <c r="U68">
        <v>0</v>
      </c>
      <c r="V68">
        <v>152</v>
      </c>
      <c r="W68">
        <v>4597</v>
      </c>
      <c r="X68" t="s">
        <v>76</v>
      </c>
      <c r="Y68">
        <v>0.98564281052860558</v>
      </c>
    </row>
    <row r="69" spans="1:25">
      <c r="A69">
        <v>64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91</v>
      </c>
      <c r="L69">
        <v>0</v>
      </c>
      <c r="M69">
        <v>0</v>
      </c>
      <c r="N69">
        <v>4415</v>
      </c>
      <c r="O69">
        <v>0</v>
      </c>
      <c r="P69">
        <v>0</v>
      </c>
      <c r="Q69">
        <v>23</v>
      </c>
      <c r="R69">
        <v>1</v>
      </c>
      <c r="S69">
        <v>0</v>
      </c>
      <c r="T69">
        <v>0</v>
      </c>
      <c r="U69">
        <v>0</v>
      </c>
      <c r="V69">
        <v>152</v>
      </c>
      <c r="W69">
        <v>4595</v>
      </c>
      <c r="X69" t="s">
        <v>64</v>
      </c>
      <c r="Y69">
        <v>0.96082698585418935</v>
      </c>
    </row>
    <row r="70" spans="1:25">
      <c r="A70">
        <v>65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1</v>
      </c>
      <c r="O70">
        <v>4526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152</v>
      </c>
      <c r="W70">
        <v>4595</v>
      </c>
      <c r="X70" t="s">
        <v>63</v>
      </c>
      <c r="Y70">
        <v>0.98498367791077257</v>
      </c>
    </row>
    <row r="71" spans="1:25">
      <c r="A71">
        <v>66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4521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2</v>
      </c>
      <c r="T71">
        <v>0</v>
      </c>
      <c r="U71">
        <v>0</v>
      </c>
      <c r="V71">
        <v>152</v>
      </c>
      <c r="W71">
        <v>4591</v>
      </c>
      <c r="X71" t="s">
        <v>67</v>
      </c>
      <c r="Y71">
        <v>0.98475277717272924</v>
      </c>
    </row>
    <row r="72" spans="1:25">
      <c r="A72">
        <v>67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4529</v>
      </c>
      <c r="N72">
        <v>0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152</v>
      </c>
      <c r="W72">
        <v>4599</v>
      </c>
      <c r="X72" t="s">
        <v>65</v>
      </c>
      <c r="Y72">
        <v>0.984779299847793</v>
      </c>
    </row>
    <row r="73" spans="1:25">
      <c r="A73">
        <v>68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4525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152</v>
      </c>
      <c r="W73">
        <v>4596</v>
      </c>
      <c r="X73" t="s">
        <v>64</v>
      </c>
      <c r="Y73">
        <v>0.98455178416013922</v>
      </c>
    </row>
    <row r="74" spans="1:25">
      <c r="A74">
        <v>69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4489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10</v>
      </c>
      <c r="S74">
        <v>32</v>
      </c>
      <c r="T74">
        <v>0</v>
      </c>
      <c r="U74">
        <v>0</v>
      </c>
      <c r="V74">
        <v>151</v>
      </c>
      <c r="W74">
        <v>4601</v>
      </c>
      <c r="X74" t="s">
        <v>69</v>
      </c>
      <c r="Y74">
        <v>0.97565746576831125</v>
      </c>
    </row>
    <row r="75" spans="1:25">
      <c r="A75">
        <v>70</v>
      </c>
      <c r="B75">
        <v>1</v>
      </c>
      <c r="C75">
        <v>0</v>
      </c>
      <c r="D75">
        <v>4529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151</v>
      </c>
      <c r="W75">
        <v>4604</v>
      </c>
      <c r="X75" t="s">
        <v>74</v>
      </c>
      <c r="Y75">
        <v>0.98370981754995657</v>
      </c>
    </row>
    <row r="76" spans="1:25">
      <c r="A76">
        <v>71</v>
      </c>
      <c r="B76">
        <v>0</v>
      </c>
      <c r="C76">
        <v>0</v>
      </c>
      <c r="D76">
        <v>0</v>
      </c>
      <c r="E76">
        <v>0</v>
      </c>
      <c r="F76">
        <v>0</v>
      </c>
      <c r="G76">
        <v>4530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151</v>
      </c>
      <c r="W76">
        <v>4602</v>
      </c>
      <c r="X76" t="s">
        <v>71</v>
      </c>
      <c r="Y76">
        <v>0.98435462842242505</v>
      </c>
    </row>
    <row r="77" spans="1:25">
      <c r="A77">
        <v>72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4522</v>
      </c>
      <c r="O77">
        <v>1</v>
      </c>
      <c r="P77">
        <v>1</v>
      </c>
      <c r="Q77">
        <v>3</v>
      </c>
      <c r="R77">
        <v>0</v>
      </c>
      <c r="S77">
        <v>0</v>
      </c>
      <c r="T77">
        <v>0</v>
      </c>
      <c r="U77">
        <v>0</v>
      </c>
      <c r="V77">
        <v>152</v>
      </c>
      <c r="W77">
        <v>4599</v>
      </c>
      <c r="X77" t="s">
        <v>64</v>
      </c>
      <c r="Y77">
        <v>0.98325722983257224</v>
      </c>
    </row>
    <row r="78" spans="1:25">
      <c r="A78">
        <v>73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0</v>
      </c>
      <c r="K78">
        <v>4512</v>
      </c>
      <c r="L78">
        <v>15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151</v>
      </c>
      <c r="W78">
        <v>4602</v>
      </c>
      <c r="X78" t="s">
        <v>67</v>
      </c>
      <c r="Y78">
        <v>0.98044328552803128</v>
      </c>
    </row>
    <row r="79" spans="1:25">
      <c r="A79">
        <v>74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4531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151</v>
      </c>
      <c r="W79">
        <v>4605</v>
      </c>
      <c r="X79" t="s">
        <v>64</v>
      </c>
      <c r="Y79">
        <v>0.98393051031487511</v>
      </c>
    </row>
    <row r="80" spans="1:25">
      <c r="A80">
        <v>75</v>
      </c>
      <c r="B80">
        <v>0</v>
      </c>
      <c r="C80">
        <v>0</v>
      </c>
      <c r="D80">
        <v>298</v>
      </c>
      <c r="E80">
        <v>4219</v>
      </c>
      <c r="F80">
        <v>0</v>
      </c>
      <c r="G80">
        <v>5</v>
      </c>
      <c r="H80">
        <v>0</v>
      </c>
      <c r="I80">
        <v>0</v>
      </c>
      <c r="J80">
        <v>8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2</v>
      </c>
      <c r="T80">
        <v>0</v>
      </c>
      <c r="U80">
        <v>0</v>
      </c>
      <c r="V80">
        <v>151</v>
      </c>
      <c r="W80">
        <v>4608</v>
      </c>
      <c r="X80" t="s">
        <v>73</v>
      </c>
      <c r="Y80">
        <v>0.91558159722222221</v>
      </c>
    </row>
    <row r="81" spans="1:25">
      <c r="A81">
        <v>76</v>
      </c>
      <c r="B81">
        <v>0</v>
      </c>
      <c r="C81">
        <v>0</v>
      </c>
      <c r="D81">
        <v>4192</v>
      </c>
      <c r="E81">
        <v>0</v>
      </c>
      <c r="F81">
        <v>0</v>
      </c>
      <c r="G81">
        <v>4</v>
      </c>
      <c r="H81">
        <v>0</v>
      </c>
      <c r="I81">
        <v>0</v>
      </c>
      <c r="J81">
        <v>0</v>
      </c>
      <c r="K81">
        <v>0</v>
      </c>
      <c r="L81">
        <v>0</v>
      </c>
      <c r="M81">
        <v>333</v>
      </c>
      <c r="N81">
        <v>0</v>
      </c>
      <c r="O81">
        <v>0</v>
      </c>
      <c r="P81">
        <v>0</v>
      </c>
      <c r="Q81">
        <v>2</v>
      </c>
      <c r="R81">
        <v>1</v>
      </c>
      <c r="S81">
        <v>0</v>
      </c>
      <c r="T81">
        <v>0</v>
      </c>
      <c r="U81">
        <v>1</v>
      </c>
      <c r="V81">
        <v>153</v>
      </c>
      <c r="W81">
        <v>4609</v>
      </c>
      <c r="X81" t="s">
        <v>74</v>
      </c>
      <c r="Y81">
        <v>0.90952484269906708</v>
      </c>
    </row>
    <row r="82" spans="1:25">
      <c r="A82">
        <v>77</v>
      </c>
      <c r="B82">
        <v>0</v>
      </c>
      <c r="C82">
        <v>0</v>
      </c>
      <c r="D82">
        <v>13</v>
      </c>
      <c r="E82">
        <v>0</v>
      </c>
      <c r="F82">
        <v>0</v>
      </c>
      <c r="G82">
        <v>0</v>
      </c>
      <c r="H82">
        <v>0</v>
      </c>
      <c r="I82">
        <v>0</v>
      </c>
      <c r="J82">
        <v>3</v>
      </c>
      <c r="K82">
        <v>0</v>
      </c>
      <c r="L82">
        <v>0</v>
      </c>
      <c r="M82">
        <v>4515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153</v>
      </c>
      <c r="W82">
        <v>4608</v>
      </c>
      <c r="X82" t="s">
        <v>65</v>
      </c>
      <c r="Y82">
        <v>0.97981770833333337</v>
      </c>
    </row>
    <row r="83" spans="1:25">
      <c r="A83">
        <v>78</v>
      </c>
      <c r="B83">
        <v>0</v>
      </c>
      <c r="C83">
        <v>0</v>
      </c>
      <c r="D83">
        <v>58</v>
      </c>
      <c r="E83">
        <v>4467</v>
      </c>
      <c r="F83">
        <v>0</v>
      </c>
      <c r="G83">
        <v>1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153</v>
      </c>
      <c r="W83">
        <v>4609</v>
      </c>
      <c r="X83" t="s">
        <v>73</v>
      </c>
      <c r="Y83">
        <v>0.96919071382078537</v>
      </c>
    </row>
    <row r="84" spans="1:25">
      <c r="A84">
        <v>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4521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152</v>
      </c>
      <c r="W84">
        <v>4600</v>
      </c>
      <c r="X84" t="s">
        <v>64</v>
      </c>
      <c r="Y84">
        <v>0.98282608695652174</v>
      </c>
    </row>
    <row r="85" spans="1:25">
      <c r="A85">
        <v>80</v>
      </c>
      <c r="B85">
        <v>0</v>
      </c>
      <c r="C85">
        <v>8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18</v>
      </c>
      <c r="N85">
        <v>0</v>
      </c>
      <c r="O85">
        <v>0</v>
      </c>
      <c r="P85">
        <v>0</v>
      </c>
      <c r="Q85">
        <v>4506</v>
      </c>
      <c r="R85">
        <v>0</v>
      </c>
      <c r="S85">
        <v>0</v>
      </c>
      <c r="T85">
        <v>0</v>
      </c>
      <c r="U85">
        <v>0</v>
      </c>
      <c r="V85">
        <v>153</v>
      </c>
      <c r="W85">
        <v>4613</v>
      </c>
      <c r="X85" t="s">
        <v>61</v>
      </c>
      <c r="Y85">
        <v>0.97680468241924989</v>
      </c>
    </row>
    <row r="86" spans="1:25">
      <c r="A86">
        <v>81</v>
      </c>
      <c r="B86">
        <v>0</v>
      </c>
      <c r="C86">
        <v>0</v>
      </c>
      <c r="D86">
        <v>0</v>
      </c>
      <c r="E86">
        <v>0</v>
      </c>
      <c r="F86">
        <v>0</v>
      </c>
      <c r="G86">
        <v>4529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153</v>
      </c>
      <c r="W86">
        <v>4612</v>
      </c>
      <c r="X86" t="s">
        <v>71</v>
      </c>
      <c r="Y86">
        <v>0.98200346921075454</v>
      </c>
    </row>
    <row r="87" spans="1:25">
      <c r="A87">
        <v>82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4529</v>
      </c>
      <c r="V87">
        <v>152</v>
      </c>
      <c r="W87">
        <v>4613</v>
      </c>
      <c r="X87" t="s">
        <v>57</v>
      </c>
      <c r="Y87">
        <v>0.98179059180576633</v>
      </c>
    </row>
    <row r="88" spans="1:25">
      <c r="A88">
        <v>83</v>
      </c>
      <c r="B88">
        <v>4534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152</v>
      </c>
      <c r="W88">
        <v>4618</v>
      </c>
      <c r="X88" t="s">
        <v>76</v>
      </c>
      <c r="Y88">
        <v>0.98181030749242093</v>
      </c>
    </row>
    <row r="89" spans="1:25">
      <c r="A89">
        <v>84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4533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152</v>
      </c>
      <c r="W89">
        <v>4617</v>
      </c>
      <c r="X89" t="s">
        <v>63</v>
      </c>
      <c r="Y89">
        <v>0.98180636777128005</v>
      </c>
    </row>
    <row r="90" spans="1:25">
      <c r="A90">
        <v>85</v>
      </c>
      <c r="B90">
        <v>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4527</v>
      </c>
      <c r="S90">
        <v>0</v>
      </c>
      <c r="T90">
        <v>0</v>
      </c>
      <c r="U90">
        <v>0</v>
      </c>
      <c r="V90">
        <v>152</v>
      </c>
      <c r="W90">
        <v>4620</v>
      </c>
      <c r="X90" t="s">
        <v>60</v>
      </c>
      <c r="Y90">
        <v>0.97987012987012989</v>
      </c>
    </row>
    <row r="91" spans="1:25">
      <c r="A91">
        <v>86</v>
      </c>
      <c r="B91">
        <v>0</v>
      </c>
      <c r="C91">
        <v>0</v>
      </c>
      <c r="D91">
        <v>4527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152</v>
      </c>
      <c r="W91">
        <v>4614</v>
      </c>
      <c r="X91" t="s">
        <v>74</v>
      </c>
      <c r="Y91">
        <v>0.98114434330299094</v>
      </c>
    </row>
    <row r="92" spans="1:25">
      <c r="A92">
        <v>87</v>
      </c>
      <c r="B92">
        <v>0</v>
      </c>
      <c r="C92">
        <v>4517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152</v>
      </c>
      <c r="W92">
        <v>4605</v>
      </c>
      <c r="X92" t="s">
        <v>75</v>
      </c>
      <c r="Y92">
        <v>0.98089033659066227</v>
      </c>
    </row>
    <row r="93" spans="1:25">
      <c r="A93">
        <v>88</v>
      </c>
      <c r="B93">
        <v>0</v>
      </c>
      <c r="C93">
        <v>0</v>
      </c>
      <c r="D93">
        <v>1</v>
      </c>
      <c r="E93">
        <v>1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4529</v>
      </c>
      <c r="T93">
        <v>0</v>
      </c>
      <c r="U93">
        <v>0</v>
      </c>
      <c r="V93">
        <v>154</v>
      </c>
      <c r="W93">
        <v>4620</v>
      </c>
      <c r="X93" t="s">
        <v>59</v>
      </c>
      <c r="Y93">
        <v>0.98030303030303034</v>
      </c>
    </row>
    <row r="94" spans="1:25">
      <c r="A94">
        <v>89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4530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154</v>
      </c>
      <c r="W94">
        <v>4621</v>
      </c>
      <c r="X94" t="s">
        <v>67</v>
      </c>
      <c r="Y94">
        <v>0.9803072927937676</v>
      </c>
    </row>
    <row r="95" spans="1:25">
      <c r="A95">
        <v>90</v>
      </c>
      <c r="B95">
        <v>0</v>
      </c>
      <c r="C95">
        <v>0</v>
      </c>
      <c r="D95">
        <v>0</v>
      </c>
      <c r="E95">
        <v>4528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154</v>
      </c>
      <c r="W95">
        <v>4620</v>
      </c>
      <c r="X95" t="s">
        <v>73</v>
      </c>
      <c r="Y95">
        <v>0.98008658008658012</v>
      </c>
    </row>
    <row r="96" spans="1:25">
      <c r="A96">
        <v>91</v>
      </c>
      <c r="B96">
        <v>4530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152</v>
      </c>
      <c r="W96">
        <v>4622</v>
      </c>
      <c r="X96" t="s">
        <v>76</v>
      </c>
      <c r="Y96">
        <v>0.98009519688446556</v>
      </c>
    </row>
    <row r="97" spans="1:25">
      <c r="A97">
        <v>92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0</v>
      </c>
      <c r="K97">
        <v>1</v>
      </c>
      <c r="L97">
        <v>4530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153</v>
      </c>
      <c r="W97">
        <v>4625</v>
      </c>
      <c r="X97" t="s">
        <v>66</v>
      </c>
      <c r="Y97">
        <v>0.97945945945945945</v>
      </c>
    </row>
    <row r="98" spans="1:25">
      <c r="A98">
        <v>93</v>
      </c>
      <c r="B98">
        <v>4510</v>
      </c>
      <c r="C98">
        <v>0</v>
      </c>
      <c r="D98">
        <v>0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</v>
      </c>
      <c r="R98">
        <v>0</v>
      </c>
      <c r="S98">
        <v>0</v>
      </c>
      <c r="T98">
        <v>0</v>
      </c>
      <c r="U98">
        <v>0</v>
      </c>
      <c r="V98">
        <v>153</v>
      </c>
      <c r="W98">
        <v>4607</v>
      </c>
      <c r="X98" t="s">
        <v>76</v>
      </c>
      <c r="Y98">
        <v>0.97894508356848275</v>
      </c>
    </row>
    <row r="99" spans="1:25">
      <c r="A99">
        <v>94</v>
      </c>
      <c r="B99">
        <v>0</v>
      </c>
      <c r="C99">
        <v>3</v>
      </c>
      <c r="D99">
        <v>0</v>
      </c>
      <c r="E99">
        <v>0</v>
      </c>
      <c r="F99">
        <v>4453</v>
      </c>
      <c r="G99">
        <v>0</v>
      </c>
      <c r="H99">
        <v>0</v>
      </c>
      <c r="I99">
        <v>0</v>
      </c>
      <c r="J99">
        <v>0</v>
      </c>
      <c r="K99">
        <v>5</v>
      </c>
      <c r="L99">
        <v>0</v>
      </c>
      <c r="M99">
        <v>0</v>
      </c>
      <c r="N99">
        <v>0</v>
      </c>
      <c r="O99">
        <v>0</v>
      </c>
      <c r="P99">
        <v>0</v>
      </c>
      <c r="Q99">
        <v>30</v>
      </c>
      <c r="R99">
        <v>0</v>
      </c>
      <c r="S99">
        <v>0</v>
      </c>
      <c r="T99">
        <v>0</v>
      </c>
      <c r="U99">
        <v>40</v>
      </c>
      <c r="V99">
        <v>153</v>
      </c>
      <c r="W99">
        <v>4625</v>
      </c>
      <c r="X99" t="s">
        <v>72</v>
      </c>
      <c r="Y99">
        <v>0.96281081081081077</v>
      </c>
    </row>
    <row r="100" spans="1:25">
      <c r="A100">
        <v>95</v>
      </c>
      <c r="B100">
        <v>1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4524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153</v>
      </c>
      <c r="W100">
        <v>4624</v>
      </c>
      <c r="X100" t="s">
        <v>67</v>
      </c>
      <c r="Y100">
        <v>0.97837370242214527</v>
      </c>
    </row>
    <row r="101" spans="1:25">
      <c r="A101">
        <v>96</v>
      </c>
      <c r="B101">
        <v>0</v>
      </c>
      <c r="C101">
        <v>0</v>
      </c>
      <c r="D101">
        <v>0</v>
      </c>
      <c r="E101">
        <v>4530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153</v>
      </c>
      <c r="W101">
        <v>4626</v>
      </c>
      <c r="X101" t="s">
        <v>73</v>
      </c>
      <c r="Y101">
        <v>0.97924773022049283</v>
      </c>
    </row>
    <row r="102" spans="1:25">
      <c r="A102">
        <v>97</v>
      </c>
      <c r="B102">
        <v>1</v>
      </c>
      <c r="C102">
        <v>0</v>
      </c>
      <c r="D102">
        <v>3</v>
      </c>
      <c r="E102">
        <v>4510</v>
      </c>
      <c r="F102">
        <v>0</v>
      </c>
      <c r="G102">
        <v>2</v>
      </c>
      <c r="H102">
        <v>0</v>
      </c>
      <c r="I102">
        <v>0</v>
      </c>
      <c r="J102">
        <v>5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153</v>
      </c>
      <c r="W102">
        <v>4621</v>
      </c>
      <c r="X102" t="s">
        <v>73</v>
      </c>
      <c r="Y102">
        <v>0.9759792252759143</v>
      </c>
    </row>
    <row r="103" spans="1:25">
      <c r="A103">
        <v>98</v>
      </c>
      <c r="B103">
        <v>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4486</v>
      </c>
      <c r="R103">
        <v>34</v>
      </c>
      <c r="S103">
        <v>0</v>
      </c>
      <c r="T103">
        <v>0</v>
      </c>
      <c r="U103">
        <v>0</v>
      </c>
      <c r="V103">
        <v>152</v>
      </c>
      <c r="W103">
        <v>4624</v>
      </c>
      <c r="X103" t="s">
        <v>61</v>
      </c>
      <c r="Y103">
        <v>0.97015570934256057</v>
      </c>
    </row>
    <row r="104" spans="1:25">
      <c r="A104">
        <v>99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4530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151</v>
      </c>
      <c r="W104">
        <v>4629</v>
      </c>
      <c r="X104" t="s">
        <v>70</v>
      </c>
      <c r="Y104">
        <v>0.97861309138042774</v>
      </c>
    </row>
    <row r="105" spans="1:25">
      <c r="A105">
        <v>100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4524</v>
      </c>
      <c r="O105">
        <v>0</v>
      </c>
      <c r="P105">
        <v>0</v>
      </c>
      <c r="Q105">
        <v>4</v>
      </c>
      <c r="R105">
        <v>0</v>
      </c>
      <c r="S105">
        <v>0</v>
      </c>
      <c r="T105">
        <v>0</v>
      </c>
      <c r="U105">
        <v>0</v>
      </c>
      <c r="V105">
        <v>151</v>
      </c>
      <c r="W105">
        <v>4628</v>
      </c>
      <c r="X105" t="s">
        <v>64</v>
      </c>
      <c r="Y105">
        <v>0.97752808988764039</v>
      </c>
    </row>
    <row r="106" spans="1:25">
      <c r="A106">
        <v>101</v>
      </c>
      <c r="B106">
        <v>0</v>
      </c>
      <c r="C106">
        <v>0</v>
      </c>
      <c r="D106">
        <v>0</v>
      </c>
      <c r="E106">
        <v>2</v>
      </c>
      <c r="F106">
        <v>0</v>
      </c>
      <c r="G106">
        <v>4525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151</v>
      </c>
      <c r="W106">
        <v>4631</v>
      </c>
      <c r="X106" t="s">
        <v>71</v>
      </c>
      <c r="Y106">
        <v>0.97711077521053769</v>
      </c>
    </row>
    <row r="107" spans="1:25">
      <c r="A107">
        <v>102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4329</v>
      </c>
      <c r="J107">
        <v>0</v>
      </c>
      <c r="K107">
        <v>193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152</v>
      </c>
      <c r="W107">
        <v>4624</v>
      </c>
      <c r="X107" t="s">
        <v>69</v>
      </c>
      <c r="Y107">
        <v>0.93620242214532867</v>
      </c>
    </row>
    <row r="108" spans="1:25">
      <c r="A108">
        <v>103</v>
      </c>
      <c r="B108">
        <v>0</v>
      </c>
      <c r="C108">
        <v>0</v>
      </c>
      <c r="D108">
        <v>0</v>
      </c>
      <c r="E108">
        <v>0</v>
      </c>
      <c r="F108">
        <v>4528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152</v>
      </c>
      <c r="W108">
        <v>4631</v>
      </c>
      <c r="X108" t="s">
        <v>72</v>
      </c>
      <c r="Y108">
        <v>0.977758583459296</v>
      </c>
    </row>
    <row r="109" spans="1:25">
      <c r="A109">
        <v>104</v>
      </c>
      <c r="B109">
        <v>2</v>
      </c>
      <c r="C109">
        <v>0</v>
      </c>
      <c r="D109">
        <v>1</v>
      </c>
      <c r="E109">
        <v>4516</v>
      </c>
      <c r="F109">
        <v>0</v>
      </c>
      <c r="G109">
        <v>7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152</v>
      </c>
      <c r="W109">
        <v>4632</v>
      </c>
      <c r="X109" t="s">
        <v>73</v>
      </c>
      <c r="Y109">
        <v>0.97495682210708112</v>
      </c>
    </row>
    <row r="110" spans="1:25">
      <c r="A110">
        <v>105</v>
      </c>
      <c r="B110">
        <v>1</v>
      </c>
      <c r="C110">
        <v>0</v>
      </c>
      <c r="D110">
        <v>9</v>
      </c>
      <c r="E110">
        <v>0</v>
      </c>
      <c r="F110">
        <v>0</v>
      </c>
      <c r="G110">
        <v>0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4449</v>
      </c>
      <c r="N110">
        <v>0</v>
      </c>
      <c r="O110">
        <v>0</v>
      </c>
      <c r="P110">
        <v>2</v>
      </c>
      <c r="Q110">
        <v>31</v>
      </c>
      <c r="R110">
        <v>27</v>
      </c>
      <c r="S110">
        <v>0</v>
      </c>
      <c r="T110">
        <v>0</v>
      </c>
      <c r="U110">
        <v>1</v>
      </c>
      <c r="V110">
        <v>152</v>
      </c>
      <c r="W110">
        <v>4628</v>
      </c>
      <c r="X110" t="s">
        <v>65</v>
      </c>
      <c r="Y110">
        <v>0.96132238547968885</v>
      </c>
    </row>
    <row r="111" spans="1:25">
      <c r="A111">
        <v>106</v>
      </c>
      <c r="B111">
        <v>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4513</v>
      </c>
      <c r="R111">
        <v>0</v>
      </c>
      <c r="S111">
        <v>0</v>
      </c>
      <c r="T111">
        <v>0</v>
      </c>
      <c r="U111">
        <v>0</v>
      </c>
      <c r="V111">
        <v>153</v>
      </c>
      <c r="W111">
        <v>4625</v>
      </c>
      <c r="X111" t="s">
        <v>61</v>
      </c>
      <c r="Y111">
        <v>0.97578378378378383</v>
      </c>
    </row>
    <row r="112" spans="1:25">
      <c r="A112">
        <v>107</v>
      </c>
      <c r="B112">
        <v>0</v>
      </c>
      <c r="C112">
        <v>4526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153</v>
      </c>
      <c r="W112">
        <v>4634</v>
      </c>
      <c r="X112" t="s">
        <v>75</v>
      </c>
      <c r="Y112">
        <v>0.97669400086318514</v>
      </c>
    </row>
    <row r="113" spans="1:27">
      <c r="A113">
        <v>108</v>
      </c>
      <c r="B113">
        <v>0</v>
      </c>
      <c r="C113">
        <v>0</v>
      </c>
      <c r="D113">
        <v>0</v>
      </c>
      <c r="E113">
        <v>0</v>
      </c>
      <c r="F113">
        <v>3</v>
      </c>
      <c r="G113">
        <v>0</v>
      </c>
      <c r="H113">
        <v>0</v>
      </c>
      <c r="I113">
        <v>404</v>
      </c>
      <c r="J113">
        <v>0</v>
      </c>
      <c r="K113">
        <v>4096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9</v>
      </c>
      <c r="T113">
        <v>0</v>
      </c>
      <c r="U113">
        <v>0</v>
      </c>
      <c r="V113">
        <v>153</v>
      </c>
      <c r="W113">
        <v>4622</v>
      </c>
      <c r="X113" t="s">
        <v>67</v>
      </c>
      <c r="Y113">
        <v>0.88619645175248807</v>
      </c>
    </row>
    <row r="114" spans="1:27">
      <c r="A114">
        <v>109</v>
      </c>
      <c r="B114">
        <v>0</v>
      </c>
      <c r="C114">
        <v>0</v>
      </c>
      <c r="D114">
        <v>2</v>
      </c>
      <c r="E114">
        <v>4510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152</v>
      </c>
      <c r="W114">
        <v>4623</v>
      </c>
      <c r="X114" t="s">
        <v>73</v>
      </c>
      <c r="Y114">
        <v>0.97555699762059267</v>
      </c>
    </row>
    <row r="115" spans="1:27">
      <c r="A115">
        <v>110</v>
      </c>
      <c r="B115">
        <v>27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4473</v>
      </c>
      <c r="S115">
        <v>0</v>
      </c>
      <c r="T115">
        <v>0</v>
      </c>
      <c r="U115">
        <v>0</v>
      </c>
      <c r="V115">
        <v>153</v>
      </c>
      <c r="W115">
        <v>4615</v>
      </c>
      <c r="X115" t="s">
        <v>60</v>
      </c>
      <c r="Y115">
        <v>0.96923076923076923</v>
      </c>
    </row>
    <row r="116" spans="1:27">
      <c r="A116">
        <v>111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559</v>
      </c>
      <c r="J116">
        <v>0</v>
      </c>
      <c r="K116">
        <v>0</v>
      </c>
      <c r="L116">
        <v>3956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8</v>
      </c>
      <c r="T116">
        <v>0</v>
      </c>
      <c r="U116">
        <v>0</v>
      </c>
      <c r="V116">
        <v>153</v>
      </c>
      <c r="W116">
        <v>4636</v>
      </c>
      <c r="X116" t="s">
        <v>66</v>
      </c>
      <c r="Y116">
        <v>0.85332182916307164</v>
      </c>
    </row>
    <row r="117" spans="1:27">
      <c r="A117">
        <v>112</v>
      </c>
      <c r="B117">
        <v>0</v>
      </c>
      <c r="C117">
        <v>0</v>
      </c>
      <c r="D117">
        <v>4</v>
      </c>
      <c r="E117">
        <v>4520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152</v>
      </c>
      <c r="W117">
        <v>4638</v>
      </c>
      <c r="X117" t="s">
        <v>73</v>
      </c>
      <c r="Y117">
        <v>0.97455799913755925</v>
      </c>
    </row>
    <row r="118" spans="1:27">
      <c r="A118">
        <v>113</v>
      </c>
      <c r="B118">
        <v>1</v>
      </c>
      <c r="C118">
        <v>0</v>
      </c>
      <c r="D118">
        <v>0</v>
      </c>
      <c r="E118">
        <v>0</v>
      </c>
      <c r="F118">
        <v>17</v>
      </c>
      <c r="G118">
        <v>0</v>
      </c>
      <c r="H118">
        <v>0</v>
      </c>
      <c r="I118">
        <v>3149</v>
      </c>
      <c r="J118">
        <v>0</v>
      </c>
      <c r="K118">
        <v>2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1352</v>
      </c>
      <c r="T118">
        <v>0</v>
      </c>
      <c r="U118">
        <v>0</v>
      </c>
      <c r="V118">
        <v>153</v>
      </c>
      <c r="W118">
        <v>4638</v>
      </c>
      <c r="X118" t="s">
        <v>69</v>
      </c>
      <c r="Y118">
        <v>0.67895644674428635</v>
      </c>
      <c r="AA118">
        <v>0.29150495903406642</v>
      </c>
    </row>
    <row r="119" spans="1:27">
      <c r="A119">
        <v>114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135</v>
      </c>
      <c r="J119">
        <v>0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4381</v>
      </c>
      <c r="T119">
        <v>0</v>
      </c>
      <c r="U119">
        <v>0</v>
      </c>
      <c r="V119">
        <v>153</v>
      </c>
      <c r="W119">
        <v>4636</v>
      </c>
      <c r="X119" t="s">
        <v>59</v>
      </c>
      <c r="Y119">
        <v>0.94499568593615191</v>
      </c>
    </row>
    <row r="120" spans="1:27">
      <c r="A120">
        <v>115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4520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153</v>
      </c>
      <c r="W120">
        <v>4637</v>
      </c>
      <c r="X120" t="s">
        <v>63</v>
      </c>
      <c r="Y120">
        <v>0.97476816907483288</v>
      </c>
    </row>
    <row r="121" spans="1:27">
      <c r="A121">
        <v>116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4517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153</v>
      </c>
      <c r="W121">
        <v>4635</v>
      </c>
      <c r="X121" t="s">
        <v>63</v>
      </c>
      <c r="Y121">
        <v>0.97454153182308523</v>
      </c>
    </row>
    <row r="122" spans="1:27">
      <c r="A122">
        <v>117</v>
      </c>
      <c r="B122">
        <v>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4516</v>
      </c>
      <c r="S122">
        <v>0</v>
      </c>
      <c r="T122">
        <v>0</v>
      </c>
      <c r="U122">
        <v>0</v>
      </c>
      <c r="V122">
        <v>153</v>
      </c>
      <c r="W122">
        <v>4638</v>
      </c>
      <c r="X122" t="s">
        <v>60</v>
      </c>
      <c r="Y122">
        <v>0.97369555843035793</v>
      </c>
    </row>
    <row r="123" spans="1:27">
      <c r="A123">
        <v>118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4517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153</v>
      </c>
      <c r="W123">
        <v>4636</v>
      </c>
      <c r="X123" t="s">
        <v>62</v>
      </c>
      <c r="Y123">
        <v>0.97433132010353751</v>
      </c>
    </row>
    <row r="124" spans="1:27">
      <c r="A124">
        <v>119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13</v>
      </c>
      <c r="J124">
        <v>0</v>
      </c>
      <c r="K124">
        <v>3</v>
      </c>
      <c r="L124">
        <v>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4501</v>
      </c>
      <c r="T124">
        <v>0</v>
      </c>
      <c r="U124">
        <v>0</v>
      </c>
      <c r="V124">
        <v>153</v>
      </c>
      <c r="W124">
        <v>4643</v>
      </c>
      <c r="X124" t="s">
        <v>59</v>
      </c>
      <c r="Y124">
        <v>0.96941632565151836</v>
      </c>
    </row>
    <row r="125" spans="1:27">
      <c r="A125">
        <v>120</v>
      </c>
      <c r="B125">
        <v>1</v>
      </c>
      <c r="C125">
        <v>0</v>
      </c>
      <c r="D125">
        <v>4511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153</v>
      </c>
      <c r="W125">
        <v>4633</v>
      </c>
      <c r="X125" t="s">
        <v>74</v>
      </c>
      <c r="Y125">
        <v>0.97366717030002159</v>
      </c>
    </row>
    <row r="126" spans="1:27">
      <c r="A126">
        <v>121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4516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153</v>
      </c>
      <c r="W126">
        <v>4642</v>
      </c>
      <c r="X126" t="s">
        <v>68</v>
      </c>
      <c r="Y126">
        <v>0.97285652735889705</v>
      </c>
    </row>
    <row r="127" spans="1:27">
      <c r="A127">
        <v>122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4505</v>
      </c>
      <c r="L127">
        <v>6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153</v>
      </c>
      <c r="W127">
        <v>4634</v>
      </c>
      <c r="X127" t="s">
        <v>67</v>
      </c>
      <c r="Y127">
        <v>0.97216227880880446</v>
      </c>
    </row>
    <row r="128" spans="1:27">
      <c r="A128">
        <v>123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4510</v>
      </c>
      <c r="S128">
        <v>0</v>
      </c>
      <c r="T128">
        <v>0</v>
      </c>
      <c r="U128">
        <v>0</v>
      </c>
      <c r="V128">
        <v>154</v>
      </c>
      <c r="W128">
        <v>4636</v>
      </c>
      <c r="X128" t="s">
        <v>60</v>
      </c>
      <c r="Y128">
        <v>0.97282139775668675</v>
      </c>
    </row>
    <row r="129" spans="1:25">
      <c r="A129">
        <v>124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4519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154</v>
      </c>
      <c r="W129">
        <v>4644</v>
      </c>
      <c r="X129" t="s">
        <v>63</v>
      </c>
      <c r="Y129">
        <v>0.97308354866494406</v>
      </c>
    </row>
    <row r="130" spans="1:25">
      <c r="A130">
        <v>125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4517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154</v>
      </c>
      <c r="W130">
        <v>4642</v>
      </c>
      <c r="X130" t="s">
        <v>71</v>
      </c>
      <c r="Y130">
        <v>0.97307195174493755</v>
      </c>
    </row>
    <row r="131" spans="1:25">
      <c r="A131">
        <v>126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4511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154</v>
      </c>
      <c r="W131">
        <v>4642</v>
      </c>
      <c r="X131" t="s">
        <v>62</v>
      </c>
      <c r="Y131">
        <v>0.97177940542869456</v>
      </c>
    </row>
    <row r="132" spans="1:25">
      <c r="A132">
        <v>127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4517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154</v>
      </c>
      <c r="W132">
        <v>4647</v>
      </c>
      <c r="X132" t="s">
        <v>63</v>
      </c>
      <c r="Y132">
        <v>0.97202496234129543</v>
      </c>
    </row>
    <row r="133" spans="1:25">
      <c r="A133">
        <v>128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0</v>
      </c>
      <c r="R133">
        <v>4516</v>
      </c>
      <c r="S133">
        <v>0</v>
      </c>
      <c r="T133">
        <v>0</v>
      </c>
      <c r="U133">
        <v>0</v>
      </c>
      <c r="V133">
        <v>155</v>
      </c>
      <c r="W133">
        <v>4646</v>
      </c>
      <c r="X133" t="s">
        <v>60</v>
      </c>
      <c r="Y133">
        <v>0.97201894102453723</v>
      </c>
    </row>
    <row r="134" spans="1:25">
      <c r="A134">
        <v>129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4515</v>
      </c>
      <c r="V134">
        <v>155</v>
      </c>
      <c r="W134">
        <v>4647</v>
      </c>
      <c r="X134" t="s">
        <v>57</v>
      </c>
      <c r="Y134">
        <v>0.97159457714654618</v>
      </c>
    </row>
    <row r="135" spans="1:25">
      <c r="A135">
        <v>130</v>
      </c>
      <c r="B135">
        <v>0</v>
      </c>
      <c r="C135">
        <v>0</v>
      </c>
      <c r="D135">
        <v>4517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155</v>
      </c>
      <c r="W135">
        <v>4649</v>
      </c>
      <c r="X135" t="s">
        <v>74</v>
      </c>
      <c r="Y135">
        <v>0.97160679716067977</v>
      </c>
    </row>
    <row r="136" spans="1:25">
      <c r="A136">
        <v>131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4518</v>
      </c>
      <c r="U136">
        <v>0</v>
      </c>
      <c r="V136">
        <v>155</v>
      </c>
      <c r="W136">
        <v>4650</v>
      </c>
      <c r="X136" t="s">
        <v>58</v>
      </c>
      <c r="Y136">
        <v>0.9716129032258064</v>
      </c>
    </row>
    <row r="137" spans="1:25">
      <c r="A137">
        <v>132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4499</v>
      </c>
      <c r="S137">
        <v>0</v>
      </c>
      <c r="T137">
        <v>0</v>
      </c>
      <c r="U137">
        <v>0</v>
      </c>
      <c r="V137">
        <v>156</v>
      </c>
      <c r="W137">
        <v>4634</v>
      </c>
      <c r="X137" t="s">
        <v>60</v>
      </c>
      <c r="Y137">
        <v>0.97086750107898145</v>
      </c>
    </row>
    <row r="138" spans="1:25">
      <c r="A138">
        <v>133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4507</v>
      </c>
      <c r="L138">
        <v>3</v>
      </c>
      <c r="M138">
        <v>0</v>
      </c>
      <c r="N138">
        <v>1</v>
      </c>
      <c r="O138">
        <v>0</v>
      </c>
      <c r="P138">
        <v>0</v>
      </c>
      <c r="Q138">
        <v>2</v>
      </c>
      <c r="R138">
        <v>0</v>
      </c>
      <c r="S138">
        <v>2</v>
      </c>
      <c r="T138">
        <v>0</v>
      </c>
      <c r="U138">
        <v>0</v>
      </c>
      <c r="V138">
        <v>156</v>
      </c>
      <c r="W138">
        <v>4649</v>
      </c>
      <c r="X138" t="s">
        <v>67</v>
      </c>
      <c r="Y138">
        <v>0.96945579694557971</v>
      </c>
    </row>
    <row r="139" spans="1:25">
      <c r="A139">
        <v>134</v>
      </c>
      <c r="B139">
        <v>0</v>
      </c>
      <c r="C139">
        <v>0</v>
      </c>
      <c r="D139">
        <v>17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4490</v>
      </c>
      <c r="N139">
        <v>0</v>
      </c>
      <c r="O139">
        <v>0</v>
      </c>
      <c r="P139">
        <v>0</v>
      </c>
      <c r="Q139">
        <v>6</v>
      </c>
      <c r="R139">
        <v>0</v>
      </c>
      <c r="S139">
        <v>0</v>
      </c>
      <c r="T139">
        <v>0</v>
      </c>
      <c r="U139">
        <v>0</v>
      </c>
      <c r="V139">
        <v>156</v>
      </c>
      <c r="W139">
        <v>4649</v>
      </c>
      <c r="X139" t="s">
        <v>65</v>
      </c>
      <c r="Y139">
        <v>0.9657990965799097</v>
      </c>
    </row>
    <row r="140" spans="1:25">
      <c r="A140">
        <v>135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4496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157</v>
      </c>
      <c r="W140">
        <v>4642</v>
      </c>
      <c r="X140" t="s">
        <v>62</v>
      </c>
      <c r="Y140">
        <v>0.968548039638087</v>
      </c>
    </row>
    <row r="141" spans="1:25">
      <c r="A141">
        <v>136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4507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157</v>
      </c>
      <c r="W141">
        <v>4644</v>
      </c>
      <c r="X141" t="s">
        <v>65</v>
      </c>
      <c r="Y141">
        <v>0.97049956933677861</v>
      </c>
    </row>
    <row r="142" spans="1:25">
      <c r="A142">
        <v>137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4501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157</v>
      </c>
      <c r="W142">
        <v>4639</v>
      </c>
      <c r="X142" t="s">
        <v>63</v>
      </c>
      <c r="Y142">
        <v>0.97025220952791547</v>
      </c>
    </row>
    <row r="143" spans="1:25">
      <c r="A143">
        <v>138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4498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157</v>
      </c>
      <c r="W143">
        <v>4638</v>
      </c>
      <c r="X143" t="s">
        <v>64</v>
      </c>
      <c r="Y143">
        <v>0.96981457524795167</v>
      </c>
    </row>
    <row r="144" spans="1:25">
      <c r="A144">
        <v>139</v>
      </c>
      <c r="B144">
        <v>4499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157</v>
      </c>
      <c r="W144">
        <v>4638</v>
      </c>
      <c r="X144" t="s">
        <v>76</v>
      </c>
      <c r="Y144">
        <v>0.97003018542475206</v>
      </c>
    </row>
    <row r="145" spans="1:25">
      <c r="A145">
        <v>140</v>
      </c>
      <c r="B145">
        <v>4509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157</v>
      </c>
      <c r="W145">
        <v>4650</v>
      </c>
      <c r="X145" t="s">
        <v>76</v>
      </c>
      <c r="Y145">
        <v>0.96967741935483875</v>
      </c>
    </row>
    <row r="146" spans="1:25">
      <c r="A146">
        <v>141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4495</v>
      </c>
      <c r="S146">
        <v>0</v>
      </c>
      <c r="T146">
        <v>0</v>
      </c>
      <c r="U146">
        <v>0</v>
      </c>
      <c r="V146">
        <v>157</v>
      </c>
      <c r="W146">
        <v>4637</v>
      </c>
      <c r="X146" t="s">
        <v>60</v>
      </c>
      <c r="Y146">
        <v>0.96937675221048092</v>
      </c>
    </row>
    <row r="147" spans="1:25">
      <c r="A147">
        <v>142</v>
      </c>
      <c r="B147">
        <v>4500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5</v>
      </c>
      <c r="R147">
        <v>0</v>
      </c>
      <c r="S147">
        <v>1</v>
      </c>
      <c r="T147">
        <v>0</v>
      </c>
      <c r="U147">
        <v>0</v>
      </c>
      <c r="V147">
        <v>157</v>
      </c>
      <c r="W147">
        <v>4648</v>
      </c>
      <c r="X147" t="s">
        <v>76</v>
      </c>
      <c r="Y147">
        <v>0.96815834767641995</v>
      </c>
    </row>
    <row r="148" spans="1:25">
      <c r="A148">
        <v>143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4497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4</v>
      </c>
      <c r="R148">
        <v>0</v>
      </c>
      <c r="S148">
        <v>0</v>
      </c>
      <c r="T148">
        <v>0</v>
      </c>
      <c r="U148">
        <v>0</v>
      </c>
      <c r="V148">
        <v>157</v>
      </c>
      <c r="W148">
        <v>4645</v>
      </c>
      <c r="X148" t="s">
        <v>67</v>
      </c>
      <c r="Y148">
        <v>0.96813778256189453</v>
      </c>
    </row>
    <row r="149" spans="1:25">
      <c r="A149">
        <v>144</v>
      </c>
      <c r="B149">
        <v>4493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5</v>
      </c>
      <c r="R149">
        <v>7</v>
      </c>
      <c r="S149">
        <v>2</v>
      </c>
      <c r="T149">
        <v>0</v>
      </c>
      <c r="U149">
        <v>0</v>
      </c>
      <c r="V149">
        <v>157</v>
      </c>
      <c r="W149">
        <v>4652</v>
      </c>
      <c r="X149" t="s">
        <v>76</v>
      </c>
      <c r="Y149">
        <v>0.96582115219260534</v>
      </c>
    </row>
    <row r="150" spans="1:25">
      <c r="A150">
        <v>145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4486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157</v>
      </c>
      <c r="W150">
        <v>4634</v>
      </c>
      <c r="X150" t="s">
        <v>65</v>
      </c>
      <c r="Y150">
        <v>0.96806214933103152</v>
      </c>
    </row>
    <row r="151" spans="1:25">
      <c r="A151">
        <v>146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4503</v>
      </c>
      <c r="S151">
        <v>0</v>
      </c>
      <c r="T151">
        <v>0</v>
      </c>
      <c r="U151">
        <v>0</v>
      </c>
      <c r="V151">
        <v>157</v>
      </c>
      <c r="W151">
        <v>4653</v>
      </c>
      <c r="X151" t="s">
        <v>60</v>
      </c>
      <c r="Y151">
        <v>0.96776273372018051</v>
      </c>
    </row>
    <row r="152" spans="1:25">
      <c r="A152">
        <v>147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4499</v>
      </c>
      <c r="J152">
        <v>0</v>
      </c>
      <c r="K152">
        <v>1</v>
      </c>
      <c r="L152">
        <v>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2</v>
      </c>
      <c r="T152">
        <v>0</v>
      </c>
      <c r="U152">
        <v>0</v>
      </c>
      <c r="V152">
        <v>158</v>
      </c>
      <c r="W152">
        <v>4655</v>
      </c>
      <c r="X152" t="s">
        <v>69</v>
      </c>
      <c r="Y152">
        <v>0.9664876476906552</v>
      </c>
    </row>
    <row r="153" spans="1:25">
      <c r="A153">
        <v>148</v>
      </c>
      <c r="B153">
        <v>0</v>
      </c>
      <c r="C153">
        <v>0</v>
      </c>
      <c r="D153">
        <v>0</v>
      </c>
      <c r="E153">
        <v>4504</v>
      </c>
      <c r="F153">
        <v>0</v>
      </c>
      <c r="G153">
        <v>0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158</v>
      </c>
      <c r="W153">
        <v>4654</v>
      </c>
      <c r="X153" t="s">
        <v>73</v>
      </c>
      <c r="Y153">
        <v>0.96776966050709068</v>
      </c>
    </row>
    <row r="154" spans="1:25">
      <c r="A154">
        <v>149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4400</v>
      </c>
      <c r="T154">
        <v>0</v>
      </c>
      <c r="U154">
        <v>0</v>
      </c>
      <c r="V154">
        <v>158</v>
      </c>
      <c r="W154">
        <v>4650</v>
      </c>
      <c r="X154" t="s">
        <v>59</v>
      </c>
      <c r="Y154">
        <v>0.94623655913978499</v>
      </c>
    </row>
    <row r="155" spans="1:25">
      <c r="A155">
        <v>150</v>
      </c>
      <c r="B155">
        <v>0</v>
      </c>
      <c r="C155">
        <v>0</v>
      </c>
      <c r="D155">
        <v>0</v>
      </c>
      <c r="E155">
        <v>0</v>
      </c>
      <c r="F155">
        <v>4500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158</v>
      </c>
      <c r="W155">
        <v>4651</v>
      </c>
      <c r="X155" t="s">
        <v>72</v>
      </c>
      <c r="Y155">
        <v>0.96753386368522898</v>
      </c>
    </row>
    <row r="156" spans="1:25">
      <c r="A156">
        <v>151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6</v>
      </c>
      <c r="H156">
        <v>0</v>
      </c>
      <c r="I156">
        <v>0</v>
      </c>
      <c r="J156">
        <v>49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4449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158</v>
      </c>
      <c r="W156">
        <v>4656</v>
      </c>
      <c r="X156" t="s">
        <v>62</v>
      </c>
      <c r="Y156">
        <v>0.95554123711340211</v>
      </c>
    </row>
    <row r="157" spans="1:25">
      <c r="A157">
        <v>152</v>
      </c>
      <c r="B157">
        <v>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321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4154</v>
      </c>
      <c r="R157">
        <v>3</v>
      </c>
      <c r="S157">
        <v>8</v>
      </c>
      <c r="T157">
        <v>0</v>
      </c>
      <c r="U157">
        <v>0</v>
      </c>
      <c r="V157">
        <v>158</v>
      </c>
      <c r="W157">
        <v>4645</v>
      </c>
      <c r="X157" t="s">
        <v>61</v>
      </c>
      <c r="Y157">
        <v>0.89429494079655547</v>
      </c>
    </row>
    <row r="158" spans="1:25">
      <c r="A158">
        <v>153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4506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158</v>
      </c>
      <c r="W158">
        <v>4660</v>
      </c>
      <c r="X158" t="s">
        <v>65</v>
      </c>
      <c r="Y158">
        <v>0.96695278969957077</v>
      </c>
    </row>
    <row r="159" spans="1:25">
      <c r="A159">
        <v>154</v>
      </c>
      <c r="B159">
        <v>0</v>
      </c>
      <c r="C159">
        <v>1</v>
      </c>
      <c r="D159">
        <v>23</v>
      </c>
      <c r="E159">
        <v>0</v>
      </c>
      <c r="F159">
        <v>0</v>
      </c>
      <c r="G159">
        <v>4348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130</v>
      </c>
      <c r="R159">
        <v>0</v>
      </c>
      <c r="S159">
        <v>0</v>
      </c>
      <c r="T159">
        <v>0</v>
      </c>
      <c r="U159">
        <v>0</v>
      </c>
      <c r="V159">
        <v>158</v>
      </c>
      <c r="W159">
        <v>4657</v>
      </c>
      <c r="X159" t="s">
        <v>71</v>
      </c>
      <c r="Y159">
        <v>0.93364827141936868</v>
      </c>
    </row>
    <row r="160" spans="1:25">
      <c r="A160">
        <v>155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11</v>
      </c>
      <c r="J160">
        <v>0</v>
      </c>
      <c r="K160">
        <v>4479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158</v>
      </c>
      <c r="W160">
        <v>4649</v>
      </c>
      <c r="X160" t="s">
        <v>67</v>
      </c>
      <c r="Y160">
        <v>0.9634329963432996</v>
      </c>
    </row>
    <row r="161" spans="1:25">
      <c r="A161">
        <v>156</v>
      </c>
      <c r="B161">
        <v>50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40</v>
      </c>
      <c r="J161">
        <v>30</v>
      </c>
      <c r="K161">
        <v>0</v>
      </c>
      <c r="L161">
        <v>9</v>
      </c>
      <c r="M161">
        <v>0</v>
      </c>
      <c r="N161">
        <v>0</v>
      </c>
      <c r="O161">
        <v>0</v>
      </c>
      <c r="P161">
        <v>0</v>
      </c>
      <c r="Q161">
        <v>5</v>
      </c>
      <c r="R161">
        <v>4368</v>
      </c>
      <c r="S161">
        <v>0</v>
      </c>
      <c r="T161">
        <v>0</v>
      </c>
      <c r="U161">
        <v>0</v>
      </c>
      <c r="V161">
        <v>158</v>
      </c>
      <c r="W161">
        <v>4658</v>
      </c>
      <c r="X161" t="s">
        <v>60</v>
      </c>
      <c r="Y161">
        <v>0.93774151996565047</v>
      </c>
    </row>
    <row r="162" spans="1:25">
      <c r="A162">
        <v>157</v>
      </c>
      <c r="B162">
        <v>3617</v>
      </c>
      <c r="C162">
        <v>2</v>
      </c>
      <c r="D162">
        <v>2</v>
      </c>
      <c r="E162">
        <v>0</v>
      </c>
      <c r="F162">
        <v>0</v>
      </c>
      <c r="G162">
        <v>1</v>
      </c>
      <c r="H162">
        <v>0</v>
      </c>
      <c r="I162">
        <v>15</v>
      </c>
      <c r="J162">
        <v>0</v>
      </c>
      <c r="K162">
        <v>0</v>
      </c>
      <c r="L162">
        <v>0</v>
      </c>
      <c r="M162">
        <v>41</v>
      </c>
      <c r="N162">
        <v>0</v>
      </c>
      <c r="O162">
        <v>0</v>
      </c>
      <c r="P162">
        <v>0</v>
      </c>
      <c r="Q162">
        <v>313</v>
      </c>
      <c r="R162">
        <v>499</v>
      </c>
      <c r="S162">
        <v>4</v>
      </c>
      <c r="T162">
        <v>0</v>
      </c>
      <c r="U162">
        <v>0</v>
      </c>
      <c r="V162">
        <v>158</v>
      </c>
      <c r="W162">
        <v>4651</v>
      </c>
      <c r="X162" t="s">
        <v>76</v>
      </c>
      <c r="Y162">
        <v>0.77768221887766076</v>
      </c>
    </row>
    <row r="163" spans="1:25">
      <c r="A163">
        <v>158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3858</v>
      </c>
      <c r="N163">
        <v>0</v>
      </c>
      <c r="O163">
        <v>0</v>
      </c>
      <c r="P163">
        <v>0</v>
      </c>
      <c r="Q163">
        <v>650</v>
      </c>
      <c r="R163">
        <v>0</v>
      </c>
      <c r="S163">
        <v>0</v>
      </c>
      <c r="T163">
        <v>0</v>
      </c>
      <c r="U163">
        <v>0</v>
      </c>
      <c r="V163">
        <v>158</v>
      </c>
      <c r="W163">
        <v>4666</v>
      </c>
      <c r="X163" t="s">
        <v>65</v>
      </c>
      <c r="Y163">
        <v>0.8268324046292328</v>
      </c>
    </row>
    <row r="164" spans="1:25">
      <c r="A164">
        <v>159</v>
      </c>
      <c r="B164">
        <v>0</v>
      </c>
      <c r="C164">
        <v>0</v>
      </c>
      <c r="D164">
        <v>62</v>
      </c>
      <c r="E164">
        <v>4437</v>
      </c>
      <c r="F164">
        <v>0</v>
      </c>
      <c r="G164">
        <v>1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158</v>
      </c>
      <c r="W164">
        <v>4662</v>
      </c>
      <c r="X164" t="s">
        <v>73</v>
      </c>
      <c r="Y164">
        <v>0.95173745173745172</v>
      </c>
    </row>
    <row r="165" spans="1:25">
      <c r="A165">
        <v>160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4507</v>
      </c>
      <c r="R165">
        <v>1</v>
      </c>
      <c r="S165">
        <v>0</v>
      </c>
      <c r="T165">
        <v>0</v>
      </c>
      <c r="U165">
        <v>0</v>
      </c>
      <c r="V165">
        <v>158</v>
      </c>
      <c r="W165">
        <v>4668</v>
      </c>
      <c r="X165" t="s">
        <v>61</v>
      </c>
      <c r="Y165">
        <v>0.96550985432733505</v>
      </c>
    </row>
    <row r="166" spans="1:25">
      <c r="A166">
        <v>161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4498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158</v>
      </c>
      <c r="W166">
        <v>4664</v>
      </c>
      <c r="X166" t="s">
        <v>71</v>
      </c>
      <c r="Y166">
        <v>0.96440823327615777</v>
      </c>
    </row>
    <row r="167" spans="1:25">
      <c r="A167">
        <v>162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4506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157</v>
      </c>
      <c r="W167">
        <v>4668</v>
      </c>
      <c r="X167" t="s">
        <v>62</v>
      </c>
      <c r="Y167">
        <v>0.96529562982005146</v>
      </c>
    </row>
    <row r="168" spans="1:25">
      <c r="A168">
        <v>163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4504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157</v>
      </c>
      <c r="W168">
        <v>4669</v>
      </c>
      <c r="X168" t="s">
        <v>67</v>
      </c>
      <c r="Y168">
        <v>0.96466052687941739</v>
      </c>
    </row>
    <row r="169" spans="1:25">
      <c r="A169">
        <v>164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4465</v>
      </c>
      <c r="J169">
        <v>0</v>
      </c>
      <c r="K169">
        <v>5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20</v>
      </c>
      <c r="T169">
        <v>0</v>
      </c>
      <c r="U169">
        <v>0</v>
      </c>
      <c r="V169">
        <v>157</v>
      </c>
      <c r="W169">
        <v>4656</v>
      </c>
      <c r="X169" t="s">
        <v>69</v>
      </c>
      <c r="Y169">
        <v>0.95897766323024058</v>
      </c>
    </row>
    <row r="170" spans="1:25">
      <c r="A170">
        <v>165</v>
      </c>
      <c r="B170">
        <v>0</v>
      </c>
      <c r="C170">
        <v>0</v>
      </c>
      <c r="D170">
        <v>4505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157</v>
      </c>
      <c r="W170">
        <v>4671</v>
      </c>
      <c r="X170" t="s">
        <v>74</v>
      </c>
      <c r="Y170">
        <v>0.9644615713979876</v>
      </c>
    </row>
    <row r="171" spans="1:25">
      <c r="A171">
        <v>166</v>
      </c>
      <c r="B171">
        <v>0</v>
      </c>
      <c r="C171">
        <v>0</v>
      </c>
      <c r="D171">
        <v>0</v>
      </c>
      <c r="E171">
        <v>0</v>
      </c>
      <c r="F171">
        <v>4489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157</v>
      </c>
      <c r="W171">
        <v>4658</v>
      </c>
      <c r="X171" t="s">
        <v>72</v>
      </c>
      <c r="Y171">
        <v>0.96371833404894802</v>
      </c>
    </row>
    <row r="172" spans="1:25">
      <c r="A172">
        <v>167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4501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157</v>
      </c>
      <c r="W172">
        <v>4670</v>
      </c>
      <c r="X172" t="s">
        <v>67</v>
      </c>
      <c r="Y172">
        <v>0.96381156316916483</v>
      </c>
    </row>
    <row r="173" spans="1:25">
      <c r="A173">
        <v>168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4473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19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157</v>
      </c>
      <c r="W173">
        <v>4662</v>
      </c>
      <c r="X173" t="s">
        <v>68</v>
      </c>
      <c r="Y173">
        <v>0.95945945945945943</v>
      </c>
    </row>
    <row r="174" spans="1:25">
      <c r="A174">
        <v>169</v>
      </c>
      <c r="B174">
        <v>0</v>
      </c>
      <c r="C174">
        <v>0</v>
      </c>
      <c r="D174">
        <v>4490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157</v>
      </c>
      <c r="W174">
        <v>4661</v>
      </c>
      <c r="X174" t="s">
        <v>74</v>
      </c>
      <c r="Y174">
        <v>0.96331259386397772</v>
      </c>
    </row>
    <row r="175" spans="1:25">
      <c r="A175">
        <v>170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8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4497</v>
      </c>
      <c r="T175">
        <v>0</v>
      </c>
      <c r="U175">
        <v>0</v>
      </c>
      <c r="V175">
        <v>157</v>
      </c>
      <c r="W175">
        <v>4677</v>
      </c>
      <c r="X175" t="s">
        <v>59</v>
      </c>
      <c r="Y175">
        <v>0.96151379089159716</v>
      </c>
    </row>
    <row r="176" spans="1:25">
      <c r="A176">
        <v>171</v>
      </c>
      <c r="B176">
        <v>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179</v>
      </c>
      <c r="J176">
        <v>0</v>
      </c>
      <c r="K176">
        <v>7</v>
      </c>
      <c r="L176">
        <v>3931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47</v>
      </c>
      <c r="S176">
        <v>334</v>
      </c>
      <c r="T176">
        <v>0</v>
      </c>
      <c r="U176">
        <v>0</v>
      </c>
      <c r="V176">
        <v>157</v>
      </c>
      <c r="W176">
        <v>4671</v>
      </c>
      <c r="X176" t="s">
        <v>66</v>
      </c>
      <c r="Y176">
        <v>0.84157567972596869</v>
      </c>
    </row>
    <row r="177" spans="1:27">
      <c r="A177">
        <v>172</v>
      </c>
      <c r="B177">
        <v>3</v>
      </c>
      <c r="C177">
        <v>0</v>
      </c>
      <c r="D177">
        <v>2663</v>
      </c>
      <c r="E177">
        <v>1794</v>
      </c>
      <c r="F177">
        <v>0</v>
      </c>
      <c r="G177">
        <v>27</v>
      </c>
      <c r="H177">
        <v>0</v>
      </c>
      <c r="I177">
        <v>0</v>
      </c>
      <c r="J177">
        <v>3</v>
      </c>
      <c r="K177">
        <v>0</v>
      </c>
      <c r="L177">
        <v>0</v>
      </c>
      <c r="M177">
        <v>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157</v>
      </c>
      <c r="W177">
        <v>4669</v>
      </c>
      <c r="X177" t="s">
        <v>74</v>
      </c>
      <c r="Y177">
        <v>0.57035767830370532</v>
      </c>
      <c r="AA177">
        <v>0.38423645320197042</v>
      </c>
    </row>
    <row r="178" spans="1:27">
      <c r="A178">
        <v>173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4506</v>
      </c>
      <c r="R178">
        <v>1</v>
      </c>
      <c r="S178">
        <v>0</v>
      </c>
      <c r="T178">
        <v>0</v>
      </c>
      <c r="U178">
        <v>0</v>
      </c>
      <c r="V178">
        <v>157</v>
      </c>
      <c r="W178">
        <v>4681</v>
      </c>
      <c r="X178" t="s">
        <v>61</v>
      </c>
      <c r="Y178">
        <v>0.96261482589190339</v>
      </c>
    </row>
    <row r="179" spans="1:27">
      <c r="A179">
        <v>174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6</v>
      </c>
      <c r="J179">
        <v>0</v>
      </c>
      <c r="K179">
        <v>4</v>
      </c>
      <c r="L179">
        <v>4484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9</v>
      </c>
      <c r="S179">
        <v>2</v>
      </c>
      <c r="T179">
        <v>0</v>
      </c>
      <c r="U179">
        <v>0</v>
      </c>
      <c r="V179">
        <v>156</v>
      </c>
      <c r="W179">
        <v>4680</v>
      </c>
      <c r="X179" t="s">
        <v>66</v>
      </c>
      <c r="Y179">
        <v>0.95811965811965816</v>
      </c>
    </row>
    <row r="180" spans="1:27">
      <c r="A180">
        <v>175</v>
      </c>
      <c r="B180">
        <v>0</v>
      </c>
      <c r="C180">
        <v>0</v>
      </c>
      <c r="D180">
        <v>4121</v>
      </c>
      <c r="E180">
        <v>5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369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156</v>
      </c>
      <c r="W180">
        <v>4673</v>
      </c>
      <c r="X180" t="s">
        <v>74</v>
      </c>
      <c r="Y180">
        <v>0.88187459875882734</v>
      </c>
      <c r="AA180">
        <v>7.8964262786218709E-2</v>
      </c>
    </row>
    <row r="181" spans="1:27">
      <c r="A181">
        <v>176</v>
      </c>
      <c r="B181">
        <v>0</v>
      </c>
      <c r="C181">
        <v>0</v>
      </c>
      <c r="D181">
        <v>0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4460</v>
      </c>
      <c r="K181">
        <v>0</v>
      </c>
      <c r="L181">
        <v>0</v>
      </c>
      <c r="M181">
        <v>3</v>
      </c>
      <c r="N181">
        <v>0</v>
      </c>
      <c r="O181">
        <v>0</v>
      </c>
      <c r="P181">
        <v>30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156</v>
      </c>
      <c r="W181">
        <v>4672</v>
      </c>
      <c r="X181" t="s">
        <v>68</v>
      </c>
      <c r="Y181">
        <v>0.95462328767123283</v>
      </c>
    </row>
    <row r="182" spans="1:27">
      <c r="A182">
        <v>177</v>
      </c>
      <c r="B182">
        <v>0</v>
      </c>
      <c r="C182">
        <v>0</v>
      </c>
      <c r="D182">
        <v>51</v>
      </c>
      <c r="E182">
        <v>4427</v>
      </c>
      <c r="F182">
        <v>0</v>
      </c>
      <c r="G182">
        <v>17</v>
      </c>
      <c r="H182">
        <v>0</v>
      </c>
      <c r="I182">
        <v>0</v>
      </c>
      <c r="J182">
        <v>14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156</v>
      </c>
      <c r="W182">
        <v>4686</v>
      </c>
      <c r="X182" t="s">
        <v>73</v>
      </c>
      <c r="Y182">
        <v>0.94472897994024752</v>
      </c>
    </row>
    <row r="183" spans="1:27">
      <c r="A183">
        <v>178</v>
      </c>
      <c r="B183">
        <v>0</v>
      </c>
      <c r="C183">
        <v>0</v>
      </c>
      <c r="D183">
        <v>53</v>
      </c>
      <c r="E183">
        <v>4276</v>
      </c>
      <c r="F183">
        <v>0</v>
      </c>
      <c r="G183">
        <v>40</v>
      </c>
      <c r="H183">
        <v>0</v>
      </c>
      <c r="I183">
        <v>0</v>
      </c>
      <c r="J183">
        <v>124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5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156</v>
      </c>
      <c r="W183">
        <v>4678</v>
      </c>
      <c r="X183" t="s">
        <v>73</v>
      </c>
      <c r="Y183">
        <v>0.91406584010260794</v>
      </c>
    </row>
    <row r="184" spans="1:27">
      <c r="A184">
        <v>179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89</v>
      </c>
      <c r="J184">
        <v>0</v>
      </c>
      <c r="K184">
        <v>9</v>
      </c>
      <c r="L184">
        <v>4359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</v>
      </c>
      <c r="S184">
        <v>50</v>
      </c>
      <c r="T184">
        <v>0</v>
      </c>
      <c r="U184">
        <v>0</v>
      </c>
      <c r="V184">
        <v>156</v>
      </c>
      <c r="W184">
        <v>4688</v>
      </c>
      <c r="X184" t="s">
        <v>66</v>
      </c>
      <c r="Y184">
        <v>0.92982081911262804</v>
      </c>
      <c r="AA184">
        <v>1.8984641638225257E-2</v>
      </c>
    </row>
    <row r="185" spans="1:27">
      <c r="A185">
        <v>180</v>
      </c>
      <c r="B185">
        <v>0</v>
      </c>
      <c r="C185">
        <v>0</v>
      </c>
      <c r="D185">
        <v>2</v>
      </c>
      <c r="E185">
        <v>4490</v>
      </c>
      <c r="F185">
        <v>0</v>
      </c>
      <c r="G185">
        <v>9</v>
      </c>
      <c r="H185">
        <v>0</v>
      </c>
      <c r="I185">
        <v>0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156</v>
      </c>
      <c r="W185">
        <v>4685</v>
      </c>
      <c r="X185" t="s">
        <v>73</v>
      </c>
      <c r="Y185">
        <v>0.95837780149413021</v>
      </c>
    </row>
    <row r="186" spans="1:27">
      <c r="A186">
        <v>181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4205</v>
      </c>
      <c r="J186">
        <v>0</v>
      </c>
      <c r="K186">
        <v>191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94</v>
      </c>
      <c r="T186">
        <v>0</v>
      </c>
      <c r="U186">
        <v>0</v>
      </c>
      <c r="V186">
        <v>156</v>
      </c>
      <c r="W186">
        <v>4674</v>
      </c>
      <c r="X186" t="s">
        <v>69</v>
      </c>
      <c r="Y186">
        <v>0.89965768078733421</v>
      </c>
    </row>
    <row r="187" spans="1:27">
      <c r="A187">
        <v>182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172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4333</v>
      </c>
      <c r="S187">
        <v>0</v>
      </c>
      <c r="T187">
        <v>0</v>
      </c>
      <c r="U187">
        <v>0</v>
      </c>
      <c r="V187">
        <v>156</v>
      </c>
      <c r="W187">
        <v>4688</v>
      </c>
      <c r="X187" t="s">
        <v>60</v>
      </c>
      <c r="Y187">
        <v>0.92427474402730381</v>
      </c>
    </row>
    <row r="188" spans="1:27">
      <c r="A188">
        <v>183</v>
      </c>
      <c r="B188">
        <v>11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2</v>
      </c>
      <c r="Q188">
        <v>0</v>
      </c>
      <c r="R188">
        <v>4488</v>
      </c>
      <c r="S188">
        <v>0</v>
      </c>
      <c r="T188">
        <v>0</v>
      </c>
      <c r="U188">
        <v>0</v>
      </c>
      <c r="V188">
        <v>156</v>
      </c>
      <c r="W188">
        <v>4688</v>
      </c>
      <c r="X188" t="s">
        <v>60</v>
      </c>
      <c r="Y188">
        <v>0.9573378839590444</v>
      </c>
    </row>
    <row r="189" spans="1:27">
      <c r="A189">
        <v>184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4503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156</v>
      </c>
      <c r="W189">
        <v>4690</v>
      </c>
      <c r="X189" t="s">
        <v>70</v>
      </c>
      <c r="Y189">
        <v>0.96012793176972278</v>
      </c>
    </row>
    <row r="190" spans="1:27">
      <c r="A190">
        <v>185</v>
      </c>
      <c r="B190">
        <v>0</v>
      </c>
      <c r="C190">
        <v>0</v>
      </c>
      <c r="D190">
        <v>0</v>
      </c>
      <c r="E190">
        <v>0</v>
      </c>
      <c r="F190">
        <v>4507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156</v>
      </c>
      <c r="W190">
        <v>4692</v>
      </c>
      <c r="X190" t="s">
        <v>72</v>
      </c>
      <c r="Y190">
        <v>0.96057118499573746</v>
      </c>
    </row>
    <row r="191" spans="1:27">
      <c r="A191">
        <v>186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4502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156</v>
      </c>
      <c r="W191">
        <v>4692</v>
      </c>
      <c r="X191" t="s">
        <v>63</v>
      </c>
      <c r="Y191">
        <v>0.95950554134697352</v>
      </c>
    </row>
    <row r="192" spans="1:27">
      <c r="A192">
        <v>187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4487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156</v>
      </c>
      <c r="W192">
        <v>4686</v>
      </c>
      <c r="X192" t="s">
        <v>62</v>
      </c>
      <c r="Y192">
        <v>0.95753307725138714</v>
      </c>
    </row>
    <row r="193" spans="1:25">
      <c r="A193">
        <v>188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4496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156</v>
      </c>
      <c r="W193">
        <v>4695</v>
      </c>
      <c r="X193" t="s">
        <v>68</v>
      </c>
      <c r="Y193">
        <v>0.95761448349307776</v>
      </c>
    </row>
    <row r="194" spans="1:25">
      <c r="A194">
        <v>189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4497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156</v>
      </c>
      <c r="W194">
        <v>4696</v>
      </c>
      <c r="X194" t="s">
        <v>62</v>
      </c>
      <c r="Y194">
        <v>0.95762350936967633</v>
      </c>
    </row>
    <row r="195" spans="1:25">
      <c r="A195">
        <v>190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4491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156</v>
      </c>
      <c r="W195">
        <v>4697</v>
      </c>
      <c r="X195" t="s">
        <v>62</v>
      </c>
      <c r="Y195">
        <v>0.95614221843730041</v>
      </c>
    </row>
    <row r="196" spans="1:25">
      <c r="A196">
        <v>191</v>
      </c>
      <c r="B196">
        <v>0</v>
      </c>
      <c r="C196">
        <v>0</v>
      </c>
      <c r="D196">
        <v>0</v>
      </c>
      <c r="E196">
        <v>4</v>
      </c>
      <c r="F196">
        <v>0</v>
      </c>
      <c r="G196">
        <v>0</v>
      </c>
      <c r="H196">
        <v>0</v>
      </c>
      <c r="I196">
        <v>292</v>
      </c>
      <c r="J196">
        <v>0</v>
      </c>
      <c r="K196">
        <v>2</v>
      </c>
      <c r="L196">
        <v>12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4194</v>
      </c>
      <c r="T196">
        <v>0</v>
      </c>
      <c r="U196">
        <v>0</v>
      </c>
      <c r="V196">
        <v>156</v>
      </c>
      <c r="W196">
        <v>4695</v>
      </c>
      <c r="X196" t="s">
        <v>59</v>
      </c>
      <c r="Y196">
        <v>0.89329073482428112</v>
      </c>
    </row>
    <row r="197" spans="1:25">
      <c r="A197">
        <v>192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7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4494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156</v>
      </c>
      <c r="W197">
        <v>4696</v>
      </c>
      <c r="X197" t="s">
        <v>62</v>
      </c>
      <c r="Y197">
        <v>0.956984667802385</v>
      </c>
    </row>
    <row r="198" spans="1:25">
      <c r="A198">
        <v>193</v>
      </c>
      <c r="B198">
        <v>0</v>
      </c>
      <c r="C198">
        <v>0</v>
      </c>
      <c r="D198">
        <v>4492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155</v>
      </c>
      <c r="W198">
        <v>4686</v>
      </c>
      <c r="X198" t="s">
        <v>74</v>
      </c>
      <c r="Y198">
        <v>0.95860008536064878</v>
      </c>
    </row>
    <row r="199" spans="1:25">
      <c r="A199">
        <v>194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4423</v>
      </c>
      <c r="N199">
        <v>0</v>
      </c>
      <c r="O199">
        <v>0</v>
      </c>
      <c r="P199">
        <v>0</v>
      </c>
      <c r="Q199">
        <v>56</v>
      </c>
      <c r="R199">
        <v>8</v>
      </c>
      <c r="S199">
        <v>0</v>
      </c>
      <c r="T199">
        <v>0</v>
      </c>
      <c r="U199">
        <v>1</v>
      </c>
      <c r="V199">
        <v>155</v>
      </c>
      <c r="W199">
        <v>4682</v>
      </c>
      <c r="X199" t="s">
        <v>65</v>
      </c>
      <c r="Y199">
        <v>0.94468175993165315</v>
      </c>
    </row>
    <row r="200" spans="1:25">
      <c r="A200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21</v>
      </c>
      <c r="J200">
        <v>0</v>
      </c>
      <c r="K200">
        <v>1</v>
      </c>
      <c r="L200">
        <v>4472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3</v>
      </c>
      <c r="S200">
        <v>10</v>
      </c>
      <c r="T200">
        <v>0</v>
      </c>
      <c r="U200">
        <v>0</v>
      </c>
      <c r="V200">
        <v>155</v>
      </c>
      <c r="W200">
        <v>4702</v>
      </c>
      <c r="X200" t="s">
        <v>66</v>
      </c>
      <c r="Y200">
        <v>0.9510846448319864</v>
      </c>
    </row>
    <row r="201" spans="1:25">
      <c r="A201">
        <v>196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3</v>
      </c>
      <c r="N201">
        <v>0</v>
      </c>
      <c r="O201">
        <v>0</v>
      </c>
      <c r="P201">
        <v>0</v>
      </c>
      <c r="Q201">
        <v>5</v>
      </c>
      <c r="R201">
        <v>4492</v>
      </c>
      <c r="S201">
        <v>0</v>
      </c>
      <c r="T201">
        <v>0</v>
      </c>
      <c r="U201">
        <v>0</v>
      </c>
      <c r="V201">
        <v>155</v>
      </c>
      <c r="W201">
        <v>4697</v>
      </c>
      <c r="X201" t="s">
        <v>60</v>
      </c>
      <c r="Y201">
        <v>0.9563551202895465</v>
      </c>
    </row>
    <row r="202" spans="1:25">
      <c r="A202">
        <v>197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4422</v>
      </c>
      <c r="K202">
        <v>0</v>
      </c>
      <c r="L202">
        <v>0</v>
      </c>
      <c r="M202">
        <v>1</v>
      </c>
      <c r="N202">
        <v>0</v>
      </c>
      <c r="O202">
        <v>2</v>
      </c>
      <c r="P202">
        <v>76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159</v>
      </c>
      <c r="W202">
        <v>4699</v>
      </c>
      <c r="X202" t="s">
        <v>68</v>
      </c>
      <c r="Y202">
        <v>0.94105128750798039</v>
      </c>
    </row>
    <row r="203" spans="1:25">
      <c r="A203">
        <v>198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4477</v>
      </c>
      <c r="K203">
        <v>0</v>
      </c>
      <c r="L203">
        <v>0</v>
      </c>
      <c r="M203">
        <v>2</v>
      </c>
      <c r="N203">
        <v>0</v>
      </c>
      <c r="O203">
        <v>0</v>
      </c>
      <c r="P203">
        <v>17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160</v>
      </c>
      <c r="W203">
        <v>4695</v>
      </c>
      <c r="X203" t="s">
        <v>68</v>
      </c>
      <c r="Y203">
        <v>0.95356762513312032</v>
      </c>
    </row>
    <row r="204" spans="1:25">
      <c r="A204">
        <v>199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</v>
      </c>
      <c r="J204">
        <v>1</v>
      </c>
      <c r="K204">
        <v>5</v>
      </c>
      <c r="L204">
        <v>4486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2</v>
      </c>
      <c r="T204">
        <v>0</v>
      </c>
      <c r="U204">
        <v>0</v>
      </c>
      <c r="V204">
        <v>160</v>
      </c>
      <c r="W204">
        <v>4697</v>
      </c>
      <c r="X204" t="s">
        <v>66</v>
      </c>
      <c r="Y204">
        <v>0.95507770917606982</v>
      </c>
    </row>
    <row r="205" spans="1:25">
      <c r="A205">
        <v>200</v>
      </c>
      <c r="B205">
        <v>1</v>
      </c>
      <c r="C205">
        <v>0</v>
      </c>
      <c r="D205">
        <v>1</v>
      </c>
      <c r="E205">
        <v>0</v>
      </c>
      <c r="F205">
        <v>2</v>
      </c>
      <c r="G205">
        <v>0</v>
      </c>
      <c r="H205">
        <v>0</v>
      </c>
      <c r="I205">
        <v>593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3888</v>
      </c>
      <c r="T205">
        <v>0</v>
      </c>
      <c r="U205">
        <v>0</v>
      </c>
      <c r="V205">
        <v>160</v>
      </c>
      <c r="W205">
        <v>4686</v>
      </c>
      <c r="X205" t="s">
        <v>59</v>
      </c>
      <c r="Y205">
        <v>0.82970550576184376</v>
      </c>
    </row>
    <row r="206" spans="1:25">
      <c r="A206">
        <v>201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4496</v>
      </c>
      <c r="S206">
        <v>0</v>
      </c>
      <c r="T206">
        <v>0</v>
      </c>
      <c r="U206">
        <v>0</v>
      </c>
      <c r="V206">
        <v>160</v>
      </c>
      <c r="W206">
        <v>4699</v>
      </c>
      <c r="X206" t="s">
        <v>60</v>
      </c>
      <c r="Y206">
        <v>0.95679931900404336</v>
      </c>
    </row>
    <row r="207" spans="1:25">
      <c r="A207">
        <v>202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4467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160</v>
      </c>
      <c r="W207">
        <v>4704</v>
      </c>
      <c r="X207" t="s">
        <v>63</v>
      </c>
      <c r="Y207">
        <v>0.94961734693877553</v>
      </c>
    </row>
    <row r="208" spans="1:25">
      <c r="A208">
        <v>203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4482</v>
      </c>
      <c r="Q208">
        <v>2</v>
      </c>
      <c r="R208">
        <v>0</v>
      </c>
      <c r="S208">
        <v>0</v>
      </c>
      <c r="T208">
        <v>0</v>
      </c>
      <c r="U208">
        <v>0</v>
      </c>
      <c r="V208">
        <v>160</v>
      </c>
      <c r="W208">
        <v>4701</v>
      </c>
      <c r="X208" t="s">
        <v>62</v>
      </c>
      <c r="Y208">
        <v>0.95341416719846839</v>
      </c>
    </row>
    <row r="209" spans="1:27">
      <c r="A209">
        <v>204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4470</v>
      </c>
      <c r="S209">
        <v>0</v>
      </c>
      <c r="T209">
        <v>0</v>
      </c>
      <c r="U209">
        <v>0</v>
      </c>
      <c r="V209">
        <v>160</v>
      </c>
      <c r="W209">
        <v>4678</v>
      </c>
      <c r="X209" t="s">
        <v>60</v>
      </c>
      <c r="Y209">
        <v>0.95553655408294147</v>
      </c>
    </row>
    <row r="210" spans="1:27">
      <c r="A210">
        <v>205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4419</v>
      </c>
      <c r="J210">
        <v>1</v>
      </c>
      <c r="K210">
        <v>0</v>
      </c>
      <c r="L210">
        <v>5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3</v>
      </c>
      <c r="S210">
        <v>54</v>
      </c>
      <c r="T210">
        <v>0</v>
      </c>
      <c r="U210">
        <v>0</v>
      </c>
      <c r="V210">
        <v>176</v>
      </c>
      <c r="W210">
        <v>4688</v>
      </c>
      <c r="X210" t="s">
        <v>69</v>
      </c>
      <c r="Y210">
        <v>0.94261945392491464</v>
      </c>
    </row>
    <row r="211" spans="1:27">
      <c r="A211">
        <v>206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4473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176</v>
      </c>
      <c r="W211">
        <v>4681</v>
      </c>
      <c r="X211" t="s">
        <v>71</v>
      </c>
      <c r="Y211">
        <v>0.95556505020294813</v>
      </c>
    </row>
    <row r="212" spans="1:27">
      <c r="A212">
        <v>207</v>
      </c>
      <c r="B212">
        <v>0</v>
      </c>
      <c r="C212">
        <v>0</v>
      </c>
      <c r="D212">
        <v>0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4462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176</v>
      </c>
      <c r="W212">
        <v>4692</v>
      </c>
      <c r="X212" t="s">
        <v>68</v>
      </c>
      <c r="Y212">
        <v>0.9509803921568627</v>
      </c>
    </row>
    <row r="213" spans="1:27">
      <c r="A213">
        <v>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4478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176</v>
      </c>
      <c r="W213">
        <v>4691</v>
      </c>
      <c r="X213" t="s">
        <v>68</v>
      </c>
      <c r="Y213">
        <v>0.9545939032189299</v>
      </c>
    </row>
    <row r="214" spans="1:27">
      <c r="A214">
        <v>209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4478</v>
      </c>
      <c r="K214">
        <v>0</v>
      </c>
      <c r="L214">
        <v>0</v>
      </c>
      <c r="M214">
        <v>2</v>
      </c>
      <c r="N214">
        <v>0</v>
      </c>
      <c r="O214">
        <v>0</v>
      </c>
      <c r="P214">
        <v>3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176</v>
      </c>
      <c r="W214">
        <v>4693</v>
      </c>
      <c r="X214" t="s">
        <v>68</v>
      </c>
      <c r="Y214">
        <v>0.95418708715107603</v>
      </c>
    </row>
    <row r="215" spans="1:27">
      <c r="A215">
        <v>210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21</v>
      </c>
      <c r="I215">
        <v>0</v>
      </c>
      <c r="J215">
        <v>2</v>
      </c>
      <c r="K215">
        <v>5</v>
      </c>
      <c r="L215">
        <v>0</v>
      </c>
      <c r="M215">
        <v>0</v>
      </c>
      <c r="N215">
        <v>1</v>
      </c>
      <c r="O215">
        <v>4457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175</v>
      </c>
      <c r="W215">
        <v>4696</v>
      </c>
      <c r="X215" t="s">
        <v>63</v>
      </c>
      <c r="Y215">
        <v>0.94910562180579217</v>
      </c>
    </row>
    <row r="216" spans="1:27">
      <c r="A216">
        <v>211</v>
      </c>
      <c r="B216">
        <v>3</v>
      </c>
      <c r="C216">
        <v>0</v>
      </c>
      <c r="D216">
        <v>0</v>
      </c>
      <c r="E216">
        <v>3</v>
      </c>
      <c r="F216">
        <v>0</v>
      </c>
      <c r="G216">
        <v>119</v>
      </c>
      <c r="H216">
        <v>0</v>
      </c>
      <c r="I216">
        <v>0</v>
      </c>
      <c r="J216">
        <v>232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4112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175</v>
      </c>
      <c r="W216">
        <v>4682</v>
      </c>
      <c r="X216" t="s">
        <v>62</v>
      </c>
      <c r="Y216">
        <v>0.87825715506193935</v>
      </c>
    </row>
    <row r="217" spans="1:27">
      <c r="A217">
        <v>212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4384</v>
      </c>
      <c r="L217">
        <v>76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175</v>
      </c>
      <c r="W217">
        <v>4674</v>
      </c>
      <c r="X217" t="s">
        <v>67</v>
      </c>
      <c r="Y217">
        <v>0.93795464270432183</v>
      </c>
    </row>
    <row r="218" spans="1:27">
      <c r="A218">
        <v>213</v>
      </c>
      <c r="B218">
        <v>4</v>
      </c>
      <c r="C218">
        <v>0</v>
      </c>
      <c r="D218">
        <v>45</v>
      </c>
      <c r="E218">
        <v>0</v>
      </c>
      <c r="F218">
        <v>0</v>
      </c>
      <c r="G218">
        <v>2</v>
      </c>
      <c r="H218">
        <v>2</v>
      </c>
      <c r="I218">
        <v>4</v>
      </c>
      <c r="J218">
        <v>6</v>
      </c>
      <c r="K218">
        <v>0</v>
      </c>
      <c r="L218">
        <v>0</v>
      </c>
      <c r="M218">
        <v>4099</v>
      </c>
      <c r="N218">
        <v>1</v>
      </c>
      <c r="O218">
        <v>0</v>
      </c>
      <c r="P218">
        <v>0</v>
      </c>
      <c r="Q218">
        <v>75</v>
      </c>
      <c r="R218">
        <v>243</v>
      </c>
      <c r="S218">
        <v>0</v>
      </c>
      <c r="T218">
        <v>0</v>
      </c>
      <c r="U218">
        <v>1</v>
      </c>
      <c r="V218">
        <v>175</v>
      </c>
      <c r="W218">
        <v>4695</v>
      </c>
      <c r="X218" t="s">
        <v>65</v>
      </c>
      <c r="Y218">
        <v>0.87305644302449414</v>
      </c>
    </row>
    <row r="219" spans="1:27">
      <c r="A219">
        <v>214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3865</v>
      </c>
      <c r="K219">
        <v>0</v>
      </c>
      <c r="L219">
        <v>0</v>
      </c>
      <c r="M219">
        <v>0</v>
      </c>
      <c r="N219">
        <v>0</v>
      </c>
      <c r="O219">
        <v>15</v>
      </c>
      <c r="P219">
        <v>602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175</v>
      </c>
      <c r="W219">
        <v>4696</v>
      </c>
      <c r="X219" t="s">
        <v>68</v>
      </c>
      <c r="Y219">
        <v>0.82304088586030666</v>
      </c>
    </row>
    <row r="220" spans="1:27">
      <c r="A220">
        <v>215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934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3524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175</v>
      </c>
      <c r="W220">
        <v>4680</v>
      </c>
      <c r="X220" t="s">
        <v>62</v>
      </c>
      <c r="Y220">
        <v>0.75299145299145298</v>
      </c>
    </row>
    <row r="221" spans="1:27">
      <c r="A221">
        <v>216</v>
      </c>
      <c r="B221">
        <v>1</v>
      </c>
      <c r="C221">
        <v>32</v>
      </c>
      <c r="D221">
        <v>0</v>
      </c>
      <c r="E221">
        <v>0</v>
      </c>
      <c r="F221">
        <v>0</v>
      </c>
      <c r="G221">
        <v>50</v>
      </c>
      <c r="H221">
        <v>0</v>
      </c>
      <c r="I221">
        <v>83</v>
      </c>
      <c r="J221">
        <v>0</v>
      </c>
      <c r="K221">
        <v>0</v>
      </c>
      <c r="L221">
        <v>0</v>
      </c>
      <c r="M221">
        <v>32</v>
      </c>
      <c r="N221">
        <v>0</v>
      </c>
      <c r="O221">
        <v>0</v>
      </c>
      <c r="P221">
        <v>13</v>
      </c>
      <c r="Q221">
        <v>4265</v>
      </c>
      <c r="R221">
        <v>0</v>
      </c>
      <c r="S221">
        <v>4</v>
      </c>
      <c r="T221">
        <v>0</v>
      </c>
      <c r="U221">
        <v>0</v>
      </c>
      <c r="V221">
        <v>175</v>
      </c>
      <c r="W221">
        <v>4696</v>
      </c>
      <c r="X221" t="s">
        <v>61</v>
      </c>
      <c r="Y221">
        <v>0.90821976149914818</v>
      </c>
      <c r="AA221">
        <v>1.0647359454855196E-2</v>
      </c>
    </row>
    <row r="222" spans="1:27">
      <c r="A222">
        <v>217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4481</v>
      </c>
      <c r="V222">
        <v>175</v>
      </c>
      <c r="W222">
        <v>4699</v>
      </c>
      <c r="X222" t="s">
        <v>57</v>
      </c>
      <c r="Y222">
        <v>0.95360715045754418</v>
      </c>
    </row>
    <row r="223" spans="1:27">
      <c r="A223">
        <v>218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10</v>
      </c>
      <c r="J223">
        <v>0</v>
      </c>
      <c r="K223">
        <v>4457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175</v>
      </c>
      <c r="W223">
        <v>4686</v>
      </c>
      <c r="X223" t="s">
        <v>67</v>
      </c>
      <c r="Y223">
        <v>0.95113102859581733</v>
      </c>
    </row>
    <row r="224" spans="1:27">
      <c r="A224">
        <v>219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4429</v>
      </c>
      <c r="J224">
        <v>0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49</v>
      </c>
      <c r="T224">
        <v>0</v>
      </c>
      <c r="U224">
        <v>0</v>
      </c>
      <c r="V224">
        <v>175</v>
      </c>
      <c r="W224">
        <v>4701</v>
      </c>
      <c r="X224" t="s">
        <v>69</v>
      </c>
      <c r="Y224">
        <v>0.94213997021910234</v>
      </c>
    </row>
    <row r="225" spans="1:25">
      <c r="A225">
        <v>220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6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4477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175</v>
      </c>
      <c r="W225">
        <v>4703</v>
      </c>
      <c r="X225" t="s">
        <v>62</v>
      </c>
      <c r="Y225">
        <v>0.95194556665957897</v>
      </c>
    </row>
    <row r="226" spans="1:25">
      <c r="A226">
        <v>221</v>
      </c>
      <c r="B226">
        <v>4462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</v>
      </c>
      <c r="R226">
        <v>1</v>
      </c>
      <c r="S226">
        <v>0</v>
      </c>
      <c r="T226">
        <v>0</v>
      </c>
      <c r="U226">
        <v>0</v>
      </c>
      <c r="V226">
        <v>175</v>
      </c>
      <c r="W226">
        <v>4687</v>
      </c>
      <c r="X226" t="s">
        <v>76</v>
      </c>
      <c r="Y226">
        <v>0.95199487945380845</v>
      </c>
    </row>
    <row r="227" spans="1:25">
      <c r="A227">
        <v>222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4475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175</v>
      </c>
      <c r="W227">
        <v>4698</v>
      </c>
      <c r="X227" t="s">
        <v>67</v>
      </c>
      <c r="Y227">
        <v>0.95253299276287784</v>
      </c>
    </row>
    <row r="228" spans="1:25">
      <c r="A228">
        <v>223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4475</v>
      </c>
      <c r="S228">
        <v>0</v>
      </c>
      <c r="T228">
        <v>0</v>
      </c>
      <c r="U228">
        <v>0</v>
      </c>
      <c r="V228">
        <v>175</v>
      </c>
      <c r="W228">
        <v>4698</v>
      </c>
      <c r="X228" t="s">
        <v>60</v>
      </c>
      <c r="Y228">
        <v>0.95253299276287784</v>
      </c>
    </row>
    <row r="229" spans="1:25">
      <c r="A229">
        <v>224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4476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175</v>
      </c>
      <c r="W229">
        <v>4700</v>
      </c>
      <c r="X229" t="s">
        <v>67</v>
      </c>
      <c r="Y229">
        <v>0.95234042553191489</v>
      </c>
    </row>
    <row r="230" spans="1:25">
      <c r="A230">
        <v>225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4481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175</v>
      </c>
      <c r="W230">
        <v>4707</v>
      </c>
      <c r="X230" t="s">
        <v>65</v>
      </c>
      <c r="Y230">
        <v>0.951986403229233</v>
      </c>
    </row>
    <row r="231" spans="1:25">
      <c r="A231">
        <v>226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4478</v>
      </c>
      <c r="S231">
        <v>0</v>
      </c>
      <c r="T231">
        <v>0</v>
      </c>
      <c r="U231">
        <v>0</v>
      </c>
      <c r="V231">
        <v>175</v>
      </c>
      <c r="W231">
        <v>4706</v>
      </c>
      <c r="X231" t="s">
        <v>60</v>
      </c>
      <c r="Y231">
        <v>0.95155121121971953</v>
      </c>
    </row>
    <row r="232" spans="1:25">
      <c r="A232">
        <v>227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4483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175</v>
      </c>
      <c r="W232">
        <v>4711</v>
      </c>
      <c r="X232" t="s">
        <v>66</v>
      </c>
      <c r="Y232">
        <v>0.95160263213755036</v>
      </c>
    </row>
    <row r="233" spans="1:25">
      <c r="A233">
        <v>228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4477</v>
      </c>
      <c r="S233">
        <v>0</v>
      </c>
      <c r="T233">
        <v>0</v>
      </c>
      <c r="U233">
        <v>0</v>
      </c>
      <c r="V233">
        <v>175</v>
      </c>
      <c r="W233">
        <v>4707</v>
      </c>
      <c r="X233" t="s">
        <v>60</v>
      </c>
      <c r="Y233">
        <v>0.95113660505629916</v>
      </c>
    </row>
    <row r="234" spans="1:25">
      <c r="A234">
        <v>229</v>
      </c>
      <c r="B234">
        <v>0</v>
      </c>
      <c r="C234">
        <v>0</v>
      </c>
      <c r="D234">
        <v>0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4479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175</v>
      </c>
      <c r="W234">
        <v>4710</v>
      </c>
      <c r="X234" t="s">
        <v>68</v>
      </c>
      <c r="Y234">
        <v>0.95095541401273886</v>
      </c>
    </row>
    <row r="235" spans="1:25">
      <c r="A235">
        <v>230</v>
      </c>
      <c r="B235">
        <v>0</v>
      </c>
      <c r="C235">
        <v>0</v>
      </c>
      <c r="D235">
        <v>4478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175</v>
      </c>
      <c r="W235">
        <v>4712</v>
      </c>
      <c r="X235" t="s">
        <v>74</v>
      </c>
      <c r="Y235">
        <v>0.95033955857385399</v>
      </c>
    </row>
    <row r="236" spans="1:25">
      <c r="A236">
        <v>231</v>
      </c>
      <c r="B236">
        <v>4481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175</v>
      </c>
      <c r="W236">
        <v>4713</v>
      </c>
      <c r="X236" t="s">
        <v>76</v>
      </c>
      <c r="Y236">
        <v>0.95077445363887125</v>
      </c>
    </row>
    <row r="237" spans="1:25">
      <c r="A237">
        <v>232</v>
      </c>
      <c r="B237">
        <v>1</v>
      </c>
      <c r="C237">
        <v>0</v>
      </c>
      <c r="D237">
        <v>1</v>
      </c>
      <c r="E237">
        <v>4479</v>
      </c>
      <c r="F237">
        <v>0</v>
      </c>
      <c r="G237">
        <v>0</v>
      </c>
      <c r="H237">
        <v>0</v>
      </c>
      <c r="I237">
        <v>0</v>
      </c>
      <c r="J237">
        <v>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174</v>
      </c>
      <c r="W237">
        <v>4716</v>
      </c>
      <c r="X237" t="s">
        <v>73</v>
      </c>
      <c r="Y237">
        <v>0.94974554707379133</v>
      </c>
    </row>
    <row r="238" spans="1:25">
      <c r="A238">
        <v>233</v>
      </c>
      <c r="B238">
        <v>1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4471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173</v>
      </c>
      <c r="W238">
        <v>4709</v>
      </c>
      <c r="X238" t="s">
        <v>62</v>
      </c>
      <c r="Y238">
        <v>0.94945848375451258</v>
      </c>
    </row>
    <row r="239" spans="1:25">
      <c r="A239">
        <v>234</v>
      </c>
      <c r="B239">
        <v>0</v>
      </c>
      <c r="C239">
        <v>1</v>
      </c>
      <c r="D239">
        <v>1</v>
      </c>
      <c r="E239">
        <v>1</v>
      </c>
      <c r="F239">
        <v>0</v>
      </c>
      <c r="G239">
        <v>4468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173</v>
      </c>
      <c r="W239">
        <v>4708</v>
      </c>
      <c r="X239" t="s">
        <v>71</v>
      </c>
      <c r="Y239">
        <v>0.94902293967714524</v>
      </c>
    </row>
    <row r="240" spans="1:25">
      <c r="A240">
        <v>235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4483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173</v>
      </c>
      <c r="W240">
        <v>4719</v>
      </c>
      <c r="X240" t="s">
        <v>68</v>
      </c>
      <c r="Y240">
        <v>0.94998940453485903</v>
      </c>
    </row>
    <row r="241" spans="1:25">
      <c r="A241">
        <v>236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4469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172</v>
      </c>
      <c r="W241">
        <v>4707</v>
      </c>
      <c r="X241" t="s">
        <v>67</v>
      </c>
      <c r="Y241">
        <v>0.94943700871043124</v>
      </c>
    </row>
    <row r="242" spans="1:25">
      <c r="A242">
        <v>237</v>
      </c>
      <c r="B242">
        <v>0</v>
      </c>
      <c r="C242">
        <v>0</v>
      </c>
      <c r="D242">
        <v>0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4464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172</v>
      </c>
      <c r="W242">
        <v>4722</v>
      </c>
      <c r="X242" t="s">
        <v>68</v>
      </c>
      <c r="Y242">
        <v>0.94536213468869124</v>
      </c>
    </row>
    <row r="243" spans="1:25">
      <c r="A243">
        <v>238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4515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141</v>
      </c>
      <c r="W243">
        <v>4754</v>
      </c>
      <c r="X243" t="s">
        <v>62</v>
      </c>
      <c r="Y243">
        <v>0.94972654606647033</v>
      </c>
    </row>
    <row r="244" spans="1:25">
      <c r="A244">
        <v>239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4513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141</v>
      </c>
      <c r="W244">
        <v>4754</v>
      </c>
      <c r="X244" t="s">
        <v>62</v>
      </c>
      <c r="Y244">
        <v>0.94930584770719395</v>
      </c>
    </row>
    <row r="245" spans="1:25">
      <c r="A245">
        <v>240</v>
      </c>
      <c r="B245">
        <v>4516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141</v>
      </c>
      <c r="W245">
        <v>4757</v>
      </c>
      <c r="X245" t="s">
        <v>76</v>
      </c>
      <c r="Y245">
        <v>0.94933781795249106</v>
      </c>
    </row>
    <row r="246" spans="1:25">
      <c r="A246">
        <v>241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4508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4</v>
      </c>
      <c r="T246">
        <v>0</v>
      </c>
      <c r="U246">
        <v>0</v>
      </c>
      <c r="V246">
        <v>141</v>
      </c>
      <c r="W246">
        <v>4754</v>
      </c>
      <c r="X246" t="s">
        <v>69</v>
      </c>
      <c r="Y246">
        <v>0.94825410180900294</v>
      </c>
    </row>
    <row r="247" spans="1:25">
      <c r="A247">
        <v>242</v>
      </c>
      <c r="B247">
        <v>4515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141</v>
      </c>
      <c r="W247">
        <v>4757</v>
      </c>
      <c r="X247" t="s">
        <v>76</v>
      </c>
      <c r="Y247">
        <v>0.94912760142947239</v>
      </c>
    </row>
    <row r="248" spans="1:25">
      <c r="A248">
        <v>243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4513</v>
      </c>
      <c r="S248">
        <v>0</v>
      </c>
      <c r="T248">
        <v>0</v>
      </c>
      <c r="U248">
        <v>0</v>
      </c>
      <c r="V248">
        <v>141</v>
      </c>
      <c r="W248">
        <v>4756</v>
      </c>
      <c r="X248" t="s">
        <v>60</v>
      </c>
      <c r="Y248">
        <v>0.94890664423885618</v>
      </c>
    </row>
    <row r="249" spans="1:25">
      <c r="A249">
        <v>244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4489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141</v>
      </c>
      <c r="W249">
        <v>4734</v>
      </c>
      <c r="X249" t="s">
        <v>64</v>
      </c>
      <c r="Y249">
        <v>0.94824672581326575</v>
      </c>
    </row>
    <row r="250" spans="1:25">
      <c r="A250">
        <v>245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4515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141</v>
      </c>
      <c r="W250">
        <v>4762</v>
      </c>
      <c r="X250" t="s">
        <v>71</v>
      </c>
      <c r="Y250">
        <v>0.94813103737925242</v>
      </c>
    </row>
    <row r="251" spans="1:25">
      <c r="A251">
        <v>246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18</v>
      </c>
      <c r="J251">
        <v>0</v>
      </c>
      <c r="K251">
        <v>0</v>
      </c>
      <c r="L251">
        <v>4499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141</v>
      </c>
      <c r="W251">
        <v>4765</v>
      </c>
      <c r="X251" t="s">
        <v>66</v>
      </c>
      <c r="Y251">
        <v>0.94417628541448062</v>
      </c>
    </row>
    <row r="252" spans="1:25">
      <c r="A252">
        <v>247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</v>
      </c>
      <c r="O252">
        <v>4510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141</v>
      </c>
      <c r="W252">
        <v>4765</v>
      </c>
      <c r="X252" t="s">
        <v>63</v>
      </c>
      <c r="Y252">
        <v>0.94648478488982157</v>
      </c>
    </row>
    <row r="253" spans="1:25">
      <c r="A253">
        <v>248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4506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2</v>
      </c>
      <c r="T253">
        <v>0</v>
      </c>
      <c r="U253">
        <v>0</v>
      </c>
      <c r="V253">
        <v>141</v>
      </c>
      <c r="W253">
        <v>4757</v>
      </c>
      <c r="X253" t="s">
        <v>69</v>
      </c>
      <c r="Y253">
        <v>0.94723565272230392</v>
      </c>
    </row>
    <row r="254" spans="1:25">
      <c r="A254">
        <v>249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4515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141</v>
      </c>
      <c r="W254">
        <v>4767</v>
      </c>
      <c r="X254" t="s">
        <v>62</v>
      </c>
      <c r="Y254">
        <v>0.94713656387665202</v>
      </c>
    </row>
    <row r="255" spans="1:25">
      <c r="A255">
        <v>250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4518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141</v>
      </c>
      <c r="W255">
        <v>4769</v>
      </c>
      <c r="X255" t="s">
        <v>71</v>
      </c>
      <c r="Y255">
        <v>0.94736842105263153</v>
      </c>
    </row>
    <row r="256" spans="1:25">
      <c r="A256">
        <v>251</v>
      </c>
      <c r="B256">
        <v>0</v>
      </c>
      <c r="C256">
        <v>1</v>
      </c>
      <c r="D256">
        <v>0</v>
      </c>
      <c r="E256">
        <v>0</v>
      </c>
      <c r="F256">
        <v>4515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141</v>
      </c>
      <c r="W256">
        <v>4768</v>
      </c>
      <c r="X256" t="s">
        <v>72</v>
      </c>
      <c r="Y256">
        <v>0.94693791946308725</v>
      </c>
    </row>
    <row r="257" spans="1:27">
      <c r="A257">
        <v>252</v>
      </c>
      <c r="B257">
        <v>2</v>
      </c>
      <c r="C257">
        <v>0</v>
      </c>
      <c r="D257">
        <v>0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4509</v>
      </c>
      <c r="T257">
        <v>0</v>
      </c>
      <c r="U257">
        <v>0</v>
      </c>
      <c r="V257">
        <v>141</v>
      </c>
      <c r="W257">
        <v>4769</v>
      </c>
      <c r="X257" t="s">
        <v>59</v>
      </c>
      <c r="Y257">
        <v>0.94548123296288533</v>
      </c>
    </row>
    <row r="258" spans="1:27">
      <c r="A258">
        <v>253</v>
      </c>
      <c r="B258">
        <v>0</v>
      </c>
      <c r="C258">
        <v>0</v>
      </c>
      <c r="D258">
        <v>0</v>
      </c>
      <c r="E258">
        <v>0</v>
      </c>
      <c r="F258">
        <v>41</v>
      </c>
      <c r="G258">
        <v>0</v>
      </c>
      <c r="H258">
        <v>166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4307</v>
      </c>
      <c r="V258">
        <v>141</v>
      </c>
      <c r="W258">
        <v>4767</v>
      </c>
      <c r="X258" t="s">
        <v>57</v>
      </c>
      <c r="Y258">
        <v>0.90350325152087263</v>
      </c>
    </row>
    <row r="259" spans="1:27">
      <c r="A259">
        <v>254</v>
      </c>
      <c r="B259">
        <v>0</v>
      </c>
      <c r="C259">
        <v>2</v>
      </c>
      <c r="D259">
        <v>0</v>
      </c>
      <c r="E259">
        <v>0</v>
      </c>
      <c r="F259">
        <v>4498</v>
      </c>
      <c r="G259">
        <v>0</v>
      </c>
      <c r="H259">
        <v>0</v>
      </c>
      <c r="I259">
        <v>0</v>
      </c>
      <c r="J259">
        <v>0</v>
      </c>
      <c r="K259">
        <v>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9</v>
      </c>
      <c r="T259">
        <v>0</v>
      </c>
      <c r="U259">
        <v>0</v>
      </c>
      <c r="V259">
        <v>141</v>
      </c>
      <c r="W259">
        <v>4771</v>
      </c>
      <c r="X259" t="s">
        <v>72</v>
      </c>
      <c r="Y259">
        <v>0.94277929155313356</v>
      </c>
    </row>
    <row r="260" spans="1:27">
      <c r="A260">
        <v>255</v>
      </c>
      <c r="B260">
        <v>6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4508</v>
      </c>
      <c r="T260">
        <v>0</v>
      </c>
      <c r="U260">
        <v>0</v>
      </c>
      <c r="V260">
        <v>141</v>
      </c>
      <c r="W260">
        <v>4770</v>
      </c>
      <c r="X260" t="s">
        <v>59</v>
      </c>
      <c r="Y260">
        <v>0.94507337526205448</v>
      </c>
    </row>
    <row r="261" spans="1:27">
      <c r="A261">
        <v>256</v>
      </c>
      <c r="B261">
        <v>0</v>
      </c>
      <c r="C261">
        <v>0</v>
      </c>
      <c r="D261">
        <v>0</v>
      </c>
      <c r="E261">
        <v>4515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141</v>
      </c>
      <c r="W261">
        <v>4771</v>
      </c>
      <c r="X261" t="s">
        <v>73</v>
      </c>
      <c r="Y261">
        <v>0.94634248585202263</v>
      </c>
    </row>
    <row r="262" spans="1:27">
      <c r="A262">
        <v>257</v>
      </c>
      <c r="B262">
        <v>2425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</v>
      </c>
      <c r="I262">
        <v>0</v>
      </c>
      <c r="J262">
        <v>0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0</v>
      </c>
      <c r="Q262">
        <v>54</v>
      </c>
      <c r="R262">
        <v>2011</v>
      </c>
      <c r="S262">
        <v>13</v>
      </c>
      <c r="T262">
        <v>0</v>
      </c>
      <c r="U262">
        <v>0</v>
      </c>
      <c r="V262">
        <v>141</v>
      </c>
      <c r="W262">
        <v>4765</v>
      </c>
      <c r="X262" t="s">
        <v>76</v>
      </c>
      <c r="Y262">
        <v>0.50891920251836309</v>
      </c>
      <c r="AA262">
        <v>0.42203567681007348</v>
      </c>
    </row>
    <row r="263" spans="1:27">
      <c r="A263">
        <v>258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</v>
      </c>
      <c r="J263">
        <v>0</v>
      </c>
      <c r="K263">
        <v>4508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141</v>
      </c>
      <c r="W263">
        <v>4770</v>
      </c>
      <c r="X263" t="s">
        <v>67</v>
      </c>
      <c r="Y263">
        <v>0.94507337526205448</v>
      </c>
    </row>
    <row r="264" spans="1:27">
      <c r="A264">
        <v>259</v>
      </c>
      <c r="B264">
        <v>4512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141</v>
      </c>
      <c r="W264">
        <v>4773</v>
      </c>
      <c r="X264" t="s">
        <v>76</v>
      </c>
      <c r="Y264">
        <v>0.94531741043368955</v>
      </c>
    </row>
    <row r="265" spans="1:27">
      <c r="A265">
        <v>260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4502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141</v>
      </c>
      <c r="W265">
        <v>4779</v>
      </c>
      <c r="X265" t="s">
        <v>62</v>
      </c>
      <c r="Y265">
        <v>0.94203808328102112</v>
      </c>
    </row>
    <row r="266" spans="1:27">
      <c r="A266">
        <v>261</v>
      </c>
      <c r="B266">
        <v>133</v>
      </c>
      <c r="C266">
        <v>8</v>
      </c>
      <c r="D266">
        <v>0</v>
      </c>
      <c r="E266">
        <v>0</v>
      </c>
      <c r="F266">
        <v>0</v>
      </c>
      <c r="G266">
        <v>114</v>
      </c>
      <c r="H266">
        <v>0</v>
      </c>
      <c r="I266">
        <v>43</v>
      </c>
      <c r="J266">
        <v>0</v>
      </c>
      <c r="K266">
        <v>0</v>
      </c>
      <c r="L266">
        <v>0</v>
      </c>
      <c r="M266">
        <v>14</v>
      </c>
      <c r="N266">
        <v>0</v>
      </c>
      <c r="O266">
        <v>0</v>
      </c>
      <c r="P266">
        <v>2</v>
      </c>
      <c r="Q266">
        <v>4167</v>
      </c>
      <c r="R266">
        <v>31</v>
      </c>
      <c r="S266">
        <v>5</v>
      </c>
      <c r="T266">
        <v>0</v>
      </c>
      <c r="U266">
        <v>0</v>
      </c>
      <c r="V266">
        <v>141</v>
      </c>
      <c r="W266">
        <v>4778</v>
      </c>
      <c r="X266" t="s">
        <v>61</v>
      </c>
      <c r="Y266">
        <v>0.87212222687316865</v>
      </c>
    </row>
    <row r="267" spans="1:27">
      <c r="A267">
        <v>262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4496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141</v>
      </c>
      <c r="W267">
        <v>4759</v>
      </c>
      <c r="X267" t="s">
        <v>69</v>
      </c>
      <c r="Y267">
        <v>0.9447362891363732</v>
      </c>
    </row>
    <row r="268" spans="1:27">
      <c r="A268">
        <v>263</v>
      </c>
      <c r="B268">
        <v>0</v>
      </c>
      <c r="C268">
        <v>4517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141</v>
      </c>
      <c r="W268">
        <v>4781</v>
      </c>
      <c r="X268" t="s">
        <v>75</v>
      </c>
      <c r="Y268">
        <v>0.94478142647981589</v>
      </c>
    </row>
    <row r="269" spans="1:27">
      <c r="A269">
        <v>264</v>
      </c>
      <c r="B269">
        <v>0</v>
      </c>
      <c r="C269">
        <v>0</v>
      </c>
      <c r="D269">
        <v>4</v>
      </c>
      <c r="E269">
        <v>4505</v>
      </c>
      <c r="F269">
        <v>0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141</v>
      </c>
      <c r="W269">
        <v>4775</v>
      </c>
      <c r="X269" t="s">
        <v>73</v>
      </c>
      <c r="Y269">
        <v>0.94345549738219892</v>
      </c>
    </row>
    <row r="270" spans="1:27">
      <c r="A270">
        <v>265</v>
      </c>
      <c r="B270">
        <v>0</v>
      </c>
      <c r="C270">
        <v>0</v>
      </c>
      <c r="D270">
        <v>0</v>
      </c>
      <c r="E270">
        <v>2</v>
      </c>
      <c r="F270">
        <v>0</v>
      </c>
      <c r="G270">
        <v>0</v>
      </c>
      <c r="H270">
        <v>0</v>
      </c>
      <c r="I270">
        <v>0</v>
      </c>
      <c r="J270">
        <v>4508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140</v>
      </c>
      <c r="W270">
        <v>4779</v>
      </c>
      <c r="X270" t="s">
        <v>68</v>
      </c>
      <c r="Y270">
        <v>0.94329357606193764</v>
      </c>
    </row>
    <row r="271" spans="1:27">
      <c r="A271">
        <v>266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2</v>
      </c>
      <c r="J271">
        <v>0</v>
      </c>
      <c r="K271">
        <v>4510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141</v>
      </c>
      <c r="W271">
        <v>4779</v>
      </c>
      <c r="X271" t="s">
        <v>67</v>
      </c>
      <c r="Y271">
        <v>0.94371207365557652</v>
      </c>
    </row>
    <row r="272" spans="1:27">
      <c r="A272">
        <v>267</v>
      </c>
      <c r="B272">
        <v>0</v>
      </c>
      <c r="C272">
        <v>0</v>
      </c>
      <c r="D272">
        <v>0</v>
      </c>
      <c r="E272">
        <v>4511</v>
      </c>
      <c r="F272">
        <v>0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141</v>
      </c>
      <c r="W272">
        <v>4781</v>
      </c>
      <c r="X272" t="s">
        <v>73</v>
      </c>
      <c r="Y272">
        <v>0.94352645889981179</v>
      </c>
    </row>
    <row r="273" spans="1:25">
      <c r="A273">
        <v>268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4502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141</v>
      </c>
      <c r="W273">
        <v>4770</v>
      </c>
      <c r="X273" t="s">
        <v>63</v>
      </c>
      <c r="Y273">
        <v>0.94381551362683436</v>
      </c>
    </row>
    <row r="274" spans="1:25">
      <c r="A274">
        <v>269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0</v>
      </c>
      <c r="Q274">
        <v>4502</v>
      </c>
      <c r="R274">
        <v>0</v>
      </c>
      <c r="S274">
        <v>0</v>
      </c>
      <c r="T274">
        <v>0</v>
      </c>
      <c r="U274">
        <v>0</v>
      </c>
      <c r="V274">
        <v>141</v>
      </c>
      <c r="W274">
        <v>4774</v>
      </c>
      <c r="X274" t="s">
        <v>61</v>
      </c>
      <c r="Y274">
        <v>0.94302471721826564</v>
      </c>
    </row>
    <row r="275" spans="1:25">
      <c r="A275">
        <v>270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4502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141</v>
      </c>
      <c r="W275">
        <v>4773</v>
      </c>
      <c r="X275" t="s">
        <v>71</v>
      </c>
      <c r="Y275">
        <v>0.94322229205950137</v>
      </c>
    </row>
    <row r="276" spans="1:25">
      <c r="A276">
        <v>271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4508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141</v>
      </c>
      <c r="W276">
        <v>4779</v>
      </c>
      <c r="X276" t="s">
        <v>67</v>
      </c>
      <c r="Y276">
        <v>0.94329357606193764</v>
      </c>
    </row>
    <row r="277" spans="1:25">
      <c r="A277">
        <v>272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4503</v>
      </c>
      <c r="O277">
        <v>0</v>
      </c>
      <c r="P277">
        <v>0</v>
      </c>
      <c r="Q277">
        <v>2</v>
      </c>
      <c r="R277">
        <v>0</v>
      </c>
      <c r="S277">
        <v>0</v>
      </c>
      <c r="T277">
        <v>0</v>
      </c>
      <c r="U277">
        <v>0</v>
      </c>
      <c r="V277">
        <v>141</v>
      </c>
      <c r="W277">
        <v>4777</v>
      </c>
      <c r="X277" t="s">
        <v>64</v>
      </c>
      <c r="Y277">
        <v>0.94264182541343944</v>
      </c>
    </row>
    <row r="278" spans="1:25">
      <c r="A278">
        <v>273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4483</v>
      </c>
      <c r="T278">
        <v>0</v>
      </c>
      <c r="U278">
        <v>0</v>
      </c>
      <c r="V278">
        <v>141</v>
      </c>
      <c r="W278">
        <v>4761</v>
      </c>
      <c r="X278" t="s">
        <v>59</v>
      </c>
      <c r="Y278">
        <v>0.94160890569208144</v>
      </c>
    </row>
    <row r="279" spans="1:25">
      <c r="A279">
        <v>274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4498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141</v>
      </c>
      <c r="W279">
        <v>4776</v>
      </c>
      <c r="X279" t="s">
        <v>71</v>
      </c>
      <c r="Y279">
        <v>0.94179229480737015</v>
      </c>
    </row>
    <row r="280" spans="1:25">
      <c r="A280">
        <v>275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4501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141</v>
      </c>
      <c r="W280">
        <v>4777</v>
      </c>
      <c r="X280" t="s">
        <v>71</v>
      </c>
      <c r="Y280">
        <v>0.94222315260623823</v>
      </c>
    </row>
    <row r="281" spans="1:25">
      <c r="A281">
        <v>276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4507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141</v>
      </c>
      <c r="W281">
        <v>4786</v>
      </c>
      <c r="X281" t="s">
        <v>65</v>
      </c>
      <c r="Y281">
        <v>0.94170497283744259</v>
      </c>
    </row>
    <row r="282" spans="1:25">
      <c r="A282">
        <v>277</v>
      </c>
      <c r="B282">
        <v>0</v>
      </c>
      <c r="C282">
        <v>0</v>
      </c>
      <c r="D282">
        <v>1</v>
      </c>
      <c r="E282">
        <v>4510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141</v>
      </c>
      <c r="W282">
        <v>4788</v>
      </c>
      <c r="X282" t="s">
        <v>73</v>
      </c>
      <c r="Y282">
        <v>0.94193817878028407</v>
      </c>
    </row>
    <row r="283" spans="1:25">
      <c r="A283">
        <v>278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4482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141</v>
      </c>
      <c r="W283">
        <v>4762</v>
      </c>
      <c r="X283" t="s">
        <v>68</v>
      </c>
      <c r="Y283">
        <v>0.94120117597648045</v>
      </c>
    </row>
    <row r="284" spans="1:25">
      <c r="A284">
        <v>279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4492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141</v>
      </c>
      <c r="W284">
        <v>4772</v>
      </c>
      <c r="X284" t="s">
        <v>68</v>
      </c>
      <c r="Y284">
        <v>0.94132439228834874</v>
      </c>
    </row>
    <row r="285" spans="1:25">
      <c r="A285">
        <v>280</v>
      </c>
      <c r="B285">
        <v>4508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141</v>
      </c>
      <c r="W285">
        <v>4789</v>
      </c>
      <c r="X285" t="s">
        <v>76</v>
      </c>
      <c r="Y285">
        <v>0.94132386719565675</v>
      </c>
    </row>
    <row r="286" spans="1:25">
      <c r="A286">
        <v>281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4506</v>
      </c>
      <c r="K286">
        <v>0</v>
      </c>
      <c r="L286">
        <v>0</v>
      </c>
      <c r="M286">
        <v>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141</v>
      </c>
      <c r="W286">
        <v>4789</v>
      </c>
      <c r="X286" t="s">
        <v>68</v>
      </c>
      <c r="Y286">
        <v>0.94090624347462937</v>
      </c>
    </row>
    <row r="287" spans="1:25">
      <c r="A287">
        <v>282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4481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140</v>
      </c>
      <c r="W287">
        <v>4763</v>
      </c>
      <c r="X287" t="s">
        <v>67</v>
      </c>
      <c r="Y287">
        <v>0.9407936174679824</v>
      </c>
    </row>
    <row r="288" spans="1:25">
      <c r="A288">
        <v>283</v>
      </c>
      <c r="B288">
        <v>4508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140</v>
      </c>
      <c r="W288">
        <v>4792</v>
      </c>
      <c r="X288" t="s">
        <v>76</v>
      </c>
      <c r="Y288">
        <v>0.94073455759599334</v>
      </c>
    </row>
    <row r="289" spans="1:27">
      <c r="A289">
        <v>284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4504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140</v>
      </c>
      <c r="W289">
        <v>4789</v>
      </c>
      <c r="X289" t="s">
        <v>65</v>
      </c>
      <c r="Y289">
        <v>0.94048861975360198</v>
      </c>
    </row>
    <row r="290" spans="1:27">
      <c r="A290">
        <v>285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4503</v>
      </c>
      <c r="T290">
        <v>0</v>
      </c>
      <c r="U290">
        <v>0</v>
      </c>
      <c r="V290">
        <v>139</v>
      </c>
      <c r="W290">
        <v>4788</v>
      </c>
      <c r="X290" t="s">
        <v>59</v>
      </c>
      <c r="Y290">
        <v>0.94047619047619047</v>
      </c>
    </row>
    <row r="291" spans="1:27">
      <c r="A291">
        <v>286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3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4498</v>
      </c>
      <c r="T291">
        <v>0</v>
      </c>
      <c r="U291">
        <v>0</v>
      </c>
      <c r="V291">
        <v>138</v>
      </c>
      <c r="W291">
        <v>4789</v>
      </c>
      <c r="X291" t="s">
        <v>59</v>
      </c>
      <c r="Y291">
        <v>0.93923574859051995</v>
      </c>
    </row>
    <row r="292" spans="1:27">
      <c r="A292">
        <v>287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4500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138</v>
      </c>
      <c r="W292">
        <v>4788</v>
      </c>
      <c r="X292" t="s">
        <v>62</v>
      </c>
      <c r="Y292">
        <v>0.93984962406015038</v>
      </c>
    </row>
    <row r="293" spans="1:27">
      <c r="A293">
        <v>288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4500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138</v>
      </c>
      <c r="W293">
        <v>4789</v>
      </c>
      <c r="X293" t="s">
        <v>68</v>
      </c>
      <c r="Y293">
        <v>0.93965337231154733</v>
      </c>
    </row>
    <row r="294" spans="1:27">
      <c r="A294">
        <v>289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4503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138</v>
      </c>
      <c r="W294">
        <v>4795</v>
      </c>
      <c r="X294" t="s">
        <v>66</v>
      </c>
      <c r="Y294">
        <v>0.9391032325338895</v>
      </c>
    </row>
    <row r="295" spans="1:27">
      <c r="A295">
        <v>290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4505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138</v>
      </c>
      <c r="W295">
        <v>4796</v>
      </c>
      <c r="X295" t="s">
        <v>66</v>
      </c>
      <c r="Y295">
        <v>0.93932443703085899</v>
      </c>
    </row>
    <row r="296" spans="1:27">
      <c r="A296">
        <v>291</v>
      </c>
      <c r="B296">
        <v>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4493</v>
      </c>
      <c r="S296">
        <v>0</v>
      </c>
      <c r="T296">
        <v>0</v>
      </c>
      <c r="U296">
        <v>0</v>
      </c>
      <c r="V296">
        <v>138</v>
      </c>
      <c r="W296">
        <v>4791</v>
      </c>
      <c r="X296" t="s">
        <v>60</v>
      </c>
      <c r="Y296">
        <v>0.93780004174493847</v>
      </c>
    </row>
    <row r="297" spans="1:27">
      <c r="A297">
        <v>292</v>
      </c>
      <c r="B297">
        <v>0</v>
      </c>
      <c r="C297">
        <v>0</v>
      </c>
      <c r="D297">
        <v>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4481</v>
      </c>
      <c r="N297">
        <v>0</v>
      </c>
      <c r="O297">
        <v>0</v>
      </c>
      <c r="P297">
        <v>0</v>
      </c>
      <c r="Q297">
        <v>11</v>
      </c>
      <c r="R297">
        <v>2</v>
      </c>
      <c r="S297">
        <v>0</v>
      </c>
      <c r="T297">
        <v>0</v>
      </c>
      <c r="U297">
        <v>0</v>
      </c>
      <c r="V297">
        <v>137</v>
      </c>
      <c r="W297">
        <v>4795</v>
      </c>
      <c r="X297" t="s">
        <v>65</v>
      </c>
      <c r="Y297">
        <v>0.93451511991657976</v>
      </c>
    </row>
    <row r="298" spans="1:27">
      <c r="A298">
        <v>293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4501</v>
      </c>
      <c r="R298">
        <v>0</v>
      </c>
      <c r="S298">
        <v>0</v>
      </c>
      <c r="T298">
        <v>0</v>
      </c>
      <c r="U298">
        <v>0</v>
      </c>
      <c r="V298">
        <v>136</v>
      </c>
      <c r="W298">
        <v>4796</v>
      </c>
      <c r="X298" t="s">
        <v>61</v>
      </c>
      <c r="Y298">
        <v>0.93849040867389488</v>
      </c>
    </row>
    <row r="299" spans="1:27">
      <c r="A299">
        <v>294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58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4440</v>
      </c>
      <c r="P299">
        <v>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136</v>
      </c>
      <c r="W299">
        <v>4803</v>
      </c>
      <c r="X299" t="s">
        <v>63</v>
      </c>
      <c r="Y299">
        <v>0.92442223610243601</v>
      </c>
    </row>
    <row r="300" spans="1:27">
      <c r="A300">
        <v>295</v>
      </c>
      <c r="B300">
        <v>0</v>
      </c>
      <c r="C300">
        <v>0</v>
      </c>
      <c r="D300">
        <v>4500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136</v>
      </c>
      <c r="W300">
        <v>4796</v>
      </c>
      <c r="X300" t="s">
        <v>74</v>
      </c>
      <c r="Y300">
        <v>0.93828190158465385</v>
      </c>
    </row>
    <row r="301" spans="1:27">
      <c r="A301">
        <v>296</v>
      </c>
      <c r="B301">
        <v>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8</v>
      </c>
      <c r="R301">
        <v>4489</v>
      </c>
      <c r="S301">
        <v>0</v>
      </c>
      <c r="T301">
        <v>0</v>
      </c>
      <c r="U301">
        <v>0</v>
      </c>
      <c r="V301">
        <v>136</v>
      </c>
      <c r="W301">
        <v>4803</v>
      </c>
      <c r="X301" t="s">
        <v>60</v>
      </c>
      <c r="Y301">
        <v>0.9346241932125755</v>
      </c>
    </row>
    <row r="302" spans="1:27">
      <c r="A302">
        <v>297</v>
      </c>
      <c r="B302">
        <v>0</v>
      </c>
      <c r="C302">
        <v>0</v>
      </c>
      <c r="D302">
        <v>13</v>
      </c>
      <c r="E302">
        <v>4492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136</v>
      </c>
      <c r="W302">
        <v>4802</v>
      </c>
      <c r="X302" t="s">
        <v>73</v>
      </c>
      <c r="Y302">
        <v>0.93544356518117455</v>
      </c>
    </row>
    <row r="303" spans="1:27">
      <c r="A303">
        <v>298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40</v>
      </c>
      <c r="J303">
        <v>0</v>
      </c>
      <c r="K303">
        <v>4464</v>
      </c>
      <c r="L303">
        <v>0</v>
      </c>
      <c r="M303">
        <v>0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2</v>
      </c>
      <c r="T303">
        <v>0</v>
      </c>
      <c r="U303">
        <v>0</v>
      </c>
      <c r="V303">
        <v>136</v>
      </c>
      <c r="W303">
        <v>4807</v>
      </c>
      <c r="X303" t="s">
        <v>67</v>
      </c>
      <c r="Y303">
        <v>0.92864572498439779</v>
      </c>
      <c r="AA303">
        <v>8.3211982525483678E-3</v>
      </c>
    </row>
    <row r="304" spans="1:27">
      <c r="A304">
        <v>299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4501</v>
      </c>
      <c r="R304">
        <v>0</v>
      </c>
      <c r="S304">
        <v>0</v>
      </c>
      <c r="T304">
        <v>0</v>
      </c>
      <c r="U304">
        <v>0</v>
      </c>
      <c r="V304">
        <v>135</v>
      </c>
      <c r="W304">
        <v>4801</v>
      </c>
      <c r="X304" t="s">
        <v>61</v>
      </c>
      <c r="Y304">
        <v>0.93751301812122478</v>
      </c>
    </row>
    <row r="305" spans="1:25">
      <c r="A305">
        <v>300</v>
      </c>
      <c r="B305">
        <v>0</v>
      </c>
      <c r="C305">
        <v>0</v>
      </c>
      <c r="D305">
        <v>0</v>
      </c>
      <c r="E305">
        <v>0</v>
      </c>
      <c r="F305">
        <v>4506</v>
      </c>
      <c r="G305">
        <v>0</v>
      </c>
      <c r="H305">
        <v>0</v>
      </c>
      <c r="I305">
        <v>0</v>
      </c>
      <c r="J305">
        <v>0</v>
      </c>
      <c r="K305">
        <v>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2</v>
      </c>
      <c r="V305">
        <v>135</v>
      </c>
      <c r="W305">
        <v>4812</v>
      </c>
      <c r="X305" t="s">
        <v>72</v>
      </c>
      <c r="Y305">
        <v>0.93640897755610975</v>
      </c>
    </row>
    <row r="306" spans="1:25">
      <c r="A306">
        <v>301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4509</v>
      </c>
      <c r="S306">
        <v>0</v>
      </c>
      <c r="T306">
        <v>0</v>
      </c>
      <c r="U306">
        <v>0</v>
      </c>
      <c r="V306">
        <v>135</v>
      </c>
      <c r="W306">
        <v>4811</v>
      </c>
      <c r="X306" t="s">
        <v>60</v>
      </c>
      <c r="Y306">
        <v>0.9372271876948659</v>
      </c>
    </row>
    <row r="307" spans="1:25">
      <c r="A307">
        <v>302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4316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</v>
      </c>
      <c r="S307">
        <v>173</v>
      </c>
      <c r="T307">
        <v>0</v>
      </c>
      <c r="U307">
        <v>0</v>
      </c>
      <c r="V307">
        <v>135</v>
      </c>
      <c r="W307">
        <v>4793</v>
      </c>
      <c r="X307" t="s">
        <v>69</v>
      </c>
      <c r="Y307">
        <v>0.90047986647193823</v>
      </c>
    </row>
    <row r="308" spans="1:25">
      <c r="A308">
        <v>303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4512</v>
      </c>
      <c r="S308">
        <v>0</v>
      </c>
      <c r="T308">
        <v>0</v>
      </c>
      <c r="U308">
        <v>0</v>
      </c>
      <c r="V308">
        <v>135</v>
      </c>
      <c r="W308">
        <v>4815</v>
      </c>
      <c r="X308" t="s">
        <v>60</v>
      </c>
      <c r="Y308">
        <v>0.93707165109034263</v>
      </c>
    </row>
    <row r="309" spans="1:25">
      <c r="A309">
        <v>304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4488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135</v>
      </c>
      <c r="W309">
        <v>4794</v>
      </c>
      <c r="X309" t="s">
        <v>71</v>
      </c>
      <c r="Y309">
        <v>0.93617021276595747</v>
      </c>
    </row>
    <row r="310" spans="1:25">
      <c r="A310">
        <v>305</v>
      </c>
      <c r="B310">
        <v>0</v>
      </c>
      <c r="C310">
        <v>0</v>
      </c>
      <c r="D310">
        <v>4513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135</v>
      </c>
      <c r="W310">
        <v>4820</v>
      </c>
      <c r="X310" t="s">
        <v>74</v>
      </c>
      <c r="Y310">
        <v>0.93630705394190872</v>
      </c>
    </row>
    <row r="311" spans="1:25">
      <c r="A311">
        <v>306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4504</v>
      </c>
      <c r="N311">
        <v>0</v>
      </c>
      <c r="O311">
        <v>0</v>
      </c>
      <c r="P311">
        <v>0</v>
      </c>
      <c r="Q311">
        <v>0</v>
      </c>
      <c r="R311">
        <v>2</v>
      </c>
      <c r="S311">
        <v>0</v>
      </c>
      <c r="T311">
        <v>0</v>
      </c>
      <c r="U311">
        <v>0</v>
      </c>
      <c r="V311">
        <v>134</v>
      </c>
      <c r="W311">
        <v>4814</v>
      </c>
      <c r="X311" t="s">
        <v>65</v>
      </c>
      <c r="Y311">
        <v>0.93560448691316989</v>
      </c>
    </row>
    <row r="312" spans="1:25">
      <c r="A312">
        <v>307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3</v>
      </c>
      <c r="O312">
        <v>0</v>
      </c>
      <c r="P312">
        <v>0</v>
      </c>
      <c r="Q312">
        <v>0</v>
      </c>
      <c r="R312">
        <v>4507</v>
      </c>
      <c r="S312">
        <v>0</v>
      </c>
      <c r="T312">
        <v>0</v>
      </c>
      <c r="U312">
        <v>0</v>
      </c>
      <c r="V312">
        <v>134</v>
      </c>
      <c r="W312">
        <v>4818</v>
      </c>
      <c r="X312" t="s">
        <v>60</v>
      </c>
      <c r="Y312">
        <v>0.93545039435450394</v>
      </c>
    </row>
    <row r="313" spans="1:25">
      <c r="A313">
        <v>308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4510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134</v>
      </c>
      <c r="W313">
        <v>4818</v>
      </c>
      <c r="X313" t="s">
        <v>68</v>
      </c>
      <c r="Y313">
        <v>0.9360730593607306</v>
      </c>
    </row>
    <row r="314" spans="1:25">
      <c r="A314">
        <v>309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4513</v>
      </c>
      <c r="U314">
        <v>0</v>
      </c>
      <c r="V314">
        <v>134</v>
      </c>
      <c r="W314">
        <v>4822</v>
      </c>
      <c r="X314" t="s">
        <v>58</v>
      </c>
      <c r="Y314">
        <v>0.9359187059311489</v>
      </c>
    </row>
    <row r="315" spans="1:25">
      <c r="A315">
        <v>310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4510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135</v>
      </c>
      <c r="W315">
        <v>4822</v>
      </c>
      <c r="X315" t="s">
        <v>65</v>
      </c>
      <c r="Y315">
        <v>0.93529655744504359</v>
      </c>
    </row>
    <row r="316" spans="1:25">
      <c r="A316">
        <v>311</v>
      </c>
      <c r="B316">
        <v>0</v>
      </c>
      <c r="C316">
        <v>0</v>
      </c>
      <c r="D316">
        <v>1</v>
      </c>
      <c r="E316">
        <v>4511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135</v>
      </c>
      <c r="W316">
        <v>4823</v>
      </c>
      <c r="X316" t="s">
        <v>73</v>
      </c>
      <c r="Y316">
        <v>0.93530997304582209</v>
      </c>
    </row>
    <row r="317" spans="1:25">
      <c r="A317">
        <v>312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4509</v>
      </c>
      <c r="N317">
        <v>0</v>
      </c>
      <c r="O317">
        <v>0</v>
      </c>
      <c r="P317">
        <v>0</v>
      </c>
      <c r="Q317">
        <v>2</v>
      </c>
      <c r="R317">
        <v>0</v>
      </c>
      <c r="S317">
        <v>0</v>
      </c>
      <c r="T317">
        <v>0</v>
      </c>
      <c r="U317">
        <v>0</v>
      </c>
      <c r="V317">
        <v>135</v>
      </c>
      <c r="W317">
        <v>4824</v>
      </c>
      <c r="X317" t="s">
        <v>65</v>
      </c>
      <c r="Y317">
        <v>0.93470149253731338</v>
      </c>
    </row>
    <row r="318" spans="1:25">
      <c r="A318">
        <v>313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4505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135</v>
      </c>
      <c r="W318">
        <v>4821</v>
      </c>
      <c r="X318" t="s">
        <v>63</v>
      </c>
      <c r="Y318">
        <v>0.93445343289773908</v>
      </c>
    </row>
    <row r="319" spans="1:25">
      <c r="A319">
        <v>314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4475</v>
      </c>
      <c r="N319">
        <v>0</v>
      </c>
      <c r="O319">
        <v>0</v>
      </c>
      <c r="P319">
        <v>0</v>
      </c>
      <c r="Q319">
        <v>27</v>
      </c>
      <c r="R319">
        <v>3</v>
      </c>
      <c r="S319">
        <v>0</v>
      </c>
      <c r="T319">
        <v>0</v>
      </c>
      <c r="U319">
        <v>0</v>
      </c>
      <c r="V319">
        <v>134</v>
      </c>
      <c r="W319">
        <v>4820</v>
      </c>
      <c r="X319" t="s">
        <v>65</v>
      </c>
      <c r="Y319">
        <v>0.92842323651452285</v>
      </c>
    </row>
    <row r="320" spans="1:25">
      <c r="A320">
        <v>315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4492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134</v>
      </c>
      <c r="W320">
        <v>4810</v>
      </c>
      <c r="X320" t="s">
        <v>64</v>
      </c>
      <c r="Y320">
        <v>0.93388773388773394</v>
      </c>
    </row>
    <row r="321" spans="1:25">
      <c r="A321">
        <v>316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4501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133</v>
      </c>
      <c r="W321">
        <v>4822</v>
      </c>
      <c r="X321" t="s">
        <v>62</v>
      </c>
      <c r="Y321">
        <v>0.93343011198672754</v>
      </c>
    </row>
    <row r="322" spans="1:25">
      <c r="A322">
        <v>317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337</v>
      </c>
      <c r="J322">
        <v>0</v>
      </c>
      <c r="K322">
        <v>0</v>
      </c>
      <c r="L322">
        <v>3787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8</v>
      </c>
      <c r="S322">
        <v>370</v>
      </c>
      <c r="T322">
        <v>0</v>
      </c>
      <c r="U322">
        <v>0</v>
      </c>
      <c r="V322">
        <v>132</v>
      </c>
      <c r="W322">
        <v>4821</v>
      </c>
      <c r="X322" t="s">
        <v>66</v>
      </c>
      <c r="Y322">
        <v>0.78552167600082967</v>
      </c>
    </row>
    <row r="323" spans="1:25">
      <c r="A323">
        <v>318</v>
      </c>
      <c r="B323">
        <v>0</v>
      </c>
      <c r="C323">
        <v>0</v>
      </c>
      <c r="D323">
        <v>0</v>
      </c>
      <c r="E323">
        <v>0</v>
      </c>
      <c r="F323">
        <v>4514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132</v>
      </c>
      <c r="W323">
        <v>4833</v>
      </c>
      <c r="X323" t="s">
        <v>72</v>
      </c>
      <c r="Y323">
        <v>0.93399544796192846</v>
      </c>
    </row>
    <row r="324" spans="1:25">
      <c r="A324">
        <v>319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4193</v>
      </c>
      <c r="L324">
        <v>318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131</v>
      </c>
      <c r="W324">
        <v>4831</v>
      </c>
      <c r="X324" t="s">
        <v>67</v>
      </c>
      <c r="Y324">
        <v>0.8679362450838336</v>
      </c>
    </row>
    <row r="325" spans="1:25">
      <c r="A325">
        <v>320</v>
      </c>
      <c r="B325">
        <v>4475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37</v>
      </c>
      <c r="S325">
        <v>2</v>
      </c>
      <c r="T325">
        <v>0</v>
      </c>
      <c r="U325">
        <v>0</v>
      </c>
      <c r="V325">
        <v>131</v>
      </c>
      <c r="W325">
        <v>4835</v>
      </c>
      <c r="X325" t="s">
        <v>76</v>
      </c>
      <c r="Y325">
        <v>0.92554291623578078</v>
      </c>
    </row>
    <row r="326" spans="1:25">
      <c r="A326">
        <v>321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4510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131</v>
      </c>
      <c r="W326">
        <v>4834</v>
      </c>
      <c r="X326" t="s">
        <v>66</v>
      </c>
      <c r="Y326">
        <v>0.9329747621017791</v>
      </c>
    </row>
    <row r="327" spans="1:25">
      <c r="A327">
        <v>322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4502</v>
      </c>
      <c r="J327">
        <v>0</v>
      </c>
      <c r="K327">
        <v>0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8</v>
      </c>
      <c r="T327">
        <v>0</v>
      </c>
      <c r="U327">
        <v>0</v>
      </c>
      <c r="V327">
        <v>131</v>
      </c>
      <c r="W327">
        <v>4835</v>
      </c>
      <c r="X327" t="s">
        <v>69</v>
      </c>
      <c r="Y327">
        <v>0.93112719751809725</v>
      </c>
    </row>
    <row r="328" spans="1:25">
      <c r="A328">
        <v>323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4499</v>
      </c>
      <c r="S328">
        <v>0</v>
      </c>
      <c r="T328">
        <v>0</v>
      </c>
      <c r="U328">
        <v>0</v>
      </c>
      <c r="V328">
        <v>132</v>
      </c>
      <c r="W328">
        <v>4822</v>
      </c>
      <c r="X328" t="s">
        <v>60</v>
      </c>
      <c r="Y328">
        <v>0.93301534632932392</v>
      </c>
    </row>
    <row r="329" spans="1:25">
      <c r="A329">
        <v>324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4515</v>
      </c>
      <c r="V329">
        <v>132</v>
      </c>
      <c r="W329">
        <v>4840</v>
      </c>
      <c r="X329" t="s">
        <v>57</v>
      </c>
      <c r="Y329">
        <v>0.93285123966942152</v>
      </c>
    </row>
    <row r="330" spans="1:25">
      <c r="A330">
        <v>325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4515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132</v>
      </c>
      <c r="W330">
        <v>4841</v>
      </c>
      <c r="X330" t="s">
        <v>69</v>
      </c>
      <c r="Y330">
        <v>0.93265854162363149</v>
      </c>
    </row>
    <row r="331" spans="1:25">
      <c r="A331">
        <v>326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4517</v>
      </c>
      <c r="S331">
        <v>0</v>
      </c>
      <c r="T331">
        <v>0</v>
      </c>
      <c r="U331">
        <v>0</v>
      </c>
      <c r="V331">
        <v>132</v>
      </c>
      <c r="W331">
        <v>4843</v>
      </c>
      <c r="X331" t="s">
        <v>60</v>
      </c>
      <c r="Y331">
        <v>0.93268635143506096</v>
      </c>
    </row>
    <row r="332" spans="1:25">
      <c r="A332">
        <v>327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4471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132</v>
      </c>
      <c r="W332">
        <v>4829</v>
      </c>
      <c r="X332" t="s">
        <v>62</v>
      </c>
      <c r="Y332">
        <v>0.92586456823358876</v>
      </c>
    </row>
    <row r="333" spans="1:25">
      <c r="A333">
        <v>328</v>
      </c>
      <c r="B333">
        <v>0</v>
      </c>
      <c r="C333">
        <v>0</v>
      </c>
      <c r="D333">
        <v>7</v>
      </c>
      <c r="E333">
        <v>0</v>
      </c>
      <c r="F333">
        <v>0</v>
      </c>
      <c r="G333">
        <v>1</v>
      </c>
      <c r="H333">
        <v>3</v>
      </c>
      <c r="I333">
        <v>0</v>
      </c>
      <c r="J333">
        <v>95</v>
      </c>
      <c r="K333">
        <v>0</v>
      </c>
      <c r="L333">
        <v>0</v>
      </c>
      <c r="M333">
        <v>4399</v>
      </c>
      <c r="N333">
        <v>0</v>
      </c>
      <c r="O333">
        <v>0</v>
      </c>
      <c r="P333">
        <v>0</v>
      </c>
      <c r="Q333">
        <v>8</v>
      </c>
      <c r="R333">
        <v>3</v>
      </c>
      <c r="S333">
        <v>0</v>
      </c>
      <c r="T333">
        <v>0</v>
      </c>
      <c r="U333">
        <v>0</v>
      </c>
      <c r="V333">
        <v>132</v>
      </c>
      <c r="W333">
        <v>4844</v>
      </c>
      <c r="X333" t="s">
        <v>65</v>
      </c>
      <c r="Y333">
        <v>0.90813377374071014</v>
      </c>
    </row>
    <row r="334" spans="1:25">
      <c r="A334">
        <v>329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4511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134</v>
      </c>
      <c r="W334">
        <v>4840</v>
      </c>
      <c r="X334" t="s">
        <v>63</v>
      </c>
      <c r="Y334">
        <v>0.93202479338842981</v>
      </c>
    </row>
    <row r="335" spans="1:25">
      <c r="A335">
        <v>330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4500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132</v>
      </c>
      <c r="W335">
        <v>4830</v>
      </c>
      <c r="X335" t="s">
        <v>64</v>
      </c>
      <c r="Y335">
        <v>0.93167701863354035</v>
      </c>
    </row>
    <row r="336" spans="1:25">
      <c r="A336">
        <v>331</v>
      </c>
      <c r="B336">
        <v>1</v>
      </c>
      <c r="C336">
        <v>0</v>
      </c>
      <c r="D336">
        <v>7</v>
      </c>
      <c r="E336">
        <v>4466</v>
      </c>
      <c r="F336">
        <v>0</v>
      </c>
      <c r="G336">
        <v>20</v>
      </c>
      <c r="H336">
        <v>0</v>
      </c>
      <c r="I336">
        <v>0</v>
      </c>
      <c r="J336">
        <v>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132</v>
      </c>
      <c r="W336">
        <v>4832</v>
      </c>
      <c r="X336" t="s">
        <v>73</v>
      </c>
      <c r="Y336">
        <v>0.92425496688741726</v>
      </c>
    </row>
    <row r="337" spans="1:27">
      <c r="A337">
        <v>332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4515</v>
      </c>
      <c r="U337">
        <v>0</v>
      </c>
      <c r="V337">
        <v>131</v>
      </c>
      <c r="W337">
        <v>4850</v>
      </c>
      <c r="X337" t="s">
        <v>58</v>
      </c>
      <c r="Y337">
        <v>0.93092783505154642</v>
      </c>
    </row>
    <row r="338" spans="1:27">
      <c r="A338">
        <v>333</v>
      </c>
      <c r="B338">
        <v>0</v>
      </c>
      <c r="C338">
        <v>1</v>
      </c>
      <c r="D338">
        <v>0</v>
      </c>
      <c r="E338">
        <v>0</v>
      </c>
      <c r="F338">
        <v>4506</v>
      </c>
      <c r="G338">
        <v>0</v>
      </c>
      <c r="H338">
        <v>0</v>
      </c>
      <c r="I338">
        <v>0</v>
      </c>
      <c r="J338">
        <v>0</v>
      </c>
      <c r="K338">
        <v>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0</v>
      </c>
      <c r="V338">
        <v>131</v>
      </c>
      <c r="W338">
        <v>4846</v>
      </c>
      <c r="X338" t="s">
        <v>72</v>
      </c>
      <c r="Y338">
        <v>0.92983904250928606</v>
      </c>
    </row>
    <row r="339" spans="1:27">
      <c r="A339">
        <v>334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4513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131</v>
      </c>
      <c r="W339">
        <v>4852</v>
      </c>
      <c r="X339" t="s">
        <v>62</v>
      </c>
      <c r="Y339">
        <v>0.93013190436933224</v>
      </c>
    </row>
    <row r="340" spans="1:27">
      <c r="A340">
        <v>335</v>
      </c>
      <c r="B340">
        <v>0</v>
      </c>
      <c r="C340">
        <v>0</v>
      </c>
      <c r="D340">
        <v>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4513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131</v>
      </c>
      <c r="W340">
        <v>4850</v>
      </c>
      <c r="X340" t="s">
        <v>65</v>
      </c>
      <c r="Y340">
        <v>0.93051546391752582</v>
      </c>
    </row>
    <row r="341" spans="1:27">
      <c r="A341">
        <v>336</v>
      </c>
      <c r="B341">
        <v>4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23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4467</v>
      </c>
      <c r="T341">
        <v>0</v>
      </c>
      <c r="U341">
        <v>0</v>
      </c>
      <c r="V341">
        <v>131</v>
      </c>
      <c r="W341">
        <v>4831</v>
      </c>
      <c r="X341" t="s">
        <v>59</v>
      </c>
      <c r="Y341">
        <v>0.92465328089422483</v>
      </c>
      <c r="AA341">
        <v>4.7609190643759054E-3</v>
      </c>
    </row>
    <row r="342" spans="1:27">
      <c r="A342">
        <v>337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4505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136</v>
      </c>
      <c r="W342">
        <v>4843</v>
      </c>
      <c r="X342" t="s">
        <v>67</v>
      </c>
      <c r="Y342">
        <v>0.93020854842040057</v>
      </c>
    </row>
    <row r="343" spans="1:27">
      <c r="A343">
        <v>338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5</v>
      </c>
      <c r="N343">
        <v>0</v>
      </c>
      <c r="O343">
        <v>0</v>
      </c>
      <c r="P343">
        <v>1</v>
      </c>
      <c r="Q343">
        <v>4503</v>
      </c>
      <c r="R343">
        <v>1</v>
      </c>
      <c r="S343">
        <v>0</v>
      </c>
      <c r="T343">
        <v>0</v>
      </c>
      <c r="U343">
        <v>0</v>
      </c>
      <c r="V343">
        <v>136</v>
      </c>
      <c r="W343">
        <v>4849</v>
      </c>
      <c r="X343" t="s">
        <v>61</v>
      </c>
      <c r="Y343">
        <v>0.92864508146009483</v>
      </c>
    </row>
    <row r="344" spans="1:27">
      <c r="A344">
        <v>339</v>
      </c>
      <c r="B344">
        <v>0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4156</v>
      </c>
      <c r="J344">
        <v>0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336</v>
      </c>
      <c r="T344">
        <v>0</v>
      </c>
      <c r="U344">
        <v>0</v>
      </c>
      <c r="V344">
        <v>136</v>
      </c>
      <c r="W344">
        <v>4836</v>
      </c>
      <c r="X344" t="s">
        <v>69</v>
      </c>
      <c r="Y344">
        <v>0.85938792390405294</v>
      </c>
      <c r="AA344">
        <v>0</v>
      </c>
    </row>
    <row r="345" spans="1:27">
      <c r="A345">
        <v>340</v>
      </c>
      <c r="B345">
        <v>4501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136</v>
      </c>
      <c r="W345">
        <v>4842</v>
      </c>
      <c r="X345" t="s">
        <v>76</v>
      </c>
      <c r="Y345">
        <v>0.92957455596860805</v>
      </c>
    </row>
    <row r="346" spans="1:27">
      <c r="A346">
        <v>341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4506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136</v>
      </c>
      <c r="W346">
        <v>4847</v>
      </c>
      <c r="X346" t="s">
        <v>64</v>
      </c>
      <c r="Y346">
        <v>0.92964720445636473</v>
      </c>
    </row>
    <row r="347" spans="1:27">
      <c r="A347">
        <v>342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4506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5</v>
      </c>
      <c r="T347">
        <v>0</v>
      </c>
      <c r="U347">
        <v>0</v>
      </c>
      <c r="V347">
        <v>135</v>
      </c>
      <c r="W347">
        <v>4855</v>
      </c>
      <c r="X347" t="s">
        <v>69</v>
      </c>
      <c r="Y347">
        <v>0.92811534500514936</v>
      </c>
    </row>
    <row r="348" spans="1:27">
      <c r="A348">
        <v>343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4513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135</v>
      </c>
      <c r="W348">
        <v>4856</v>
      </c>
      <c r="X348" t="s">
        <v>66</v>
      </c>
      <c r="Y348">
        <v>0.92936573311367376</v>
      </c>
    </row>
    <row r="349" spans="1:27">
      <c r="A349">
        <v>344</v>
      </c>
      <c r="B349">
        <v>0</v>
      </c>
      <c r="C349">
        <v>0</v>
      </c>
      <c r="D349">
        <v>0</v>
      </c>
      <c r="E349">
        <v>0</v>
      </c>
      <c r="F349">
        <v>4502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2</v>
      </c>
      <c r="R349">
        <v>0</v>
      </c>
      <c r="S349">
        <v>1</v>
      </c>
      <c r="T349">
        <v>0</v>
      </c>
      <c r="U349">
        <v>0</v>
      </c>
      <c r="V349">
        <v>134</v>
      </c>
      <c r="W349">
        <v>4849</v>
      </c>
      <c r="X349" t="s">
        <v>72</v>
      </c>
      <c r="Y349">
        <v>0.9284388533718293</v>
      </c>
    </row>
    <row r="350" spans="1:27">
      <c r="A350">
        <v>345</v>
      </c>
      <c r="B350">
        <v>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4506</v>
      </c>
      <c r="R350">
        <v>0</v>
      </c>
      <c r="S350">
        <v>0</v>
      </c>
      <c r="T350">
        <v>0</v>
      </c>
      <c r="U350">
        <v>0</v>
      </c>
      <c r="V350">
        <v>134</v>
      </c>
      <c r="W350">
        <v>4856</v>
      </c>
      <c r="X350" t="s">
        <v>61</v>
      </c>
      <c r="Y350">
        <v>0.92792421746293241</v>
      </c>
    </row>
    <row r="351" spans="1:27">
      <c r="A351">
        <v>346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4510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134</v>
      </c>
      <c r="W351">
        <v>4857</v>
      </c>
      <c r="X351" t="s">
        <v>65</v>
      </c>
      <c r="Y351">
        <v>0.92855672225653696</v>
      </c>
    </row>
    <row r="352" spans="1:27">
      <c r="A352">
        <v>347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4506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135</v>
      </c>
      <c r="W352">
        <v>4854</v>
      </c>
      <c r="X352" t="s">
        <v>68</v>
      </c>
      <c r="Y352">
        <v>0.92830655129789863</v>
      </c>
    </row>
    <row r="353" spans="1:27">
      <c r="A353">
        <v>348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2</v>
      </c>
      <c r="J353">
        <v>1</v>
      </c>
      <c r="K353">
        <v>0</v>
      </c>
      <c r="L353">
        <v>4494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11</v>
      </c>
      <c r="T353">
        <v>0</v>
      </c>
      <c r="U353">
        <v>0</v>
      </c>
      <c r="V353">
        <v>135</v>
      </c>
      <c r="W353">
        <v>4856</v>
      </c>
      <c r="X353" t="s">
        <v>66</v>
      </c>
      <c r="Y353">
        <v>0.92545304777594728</v>
      </c>
    </row>
    <row r="354" spans="1:27">
      <c r="A354">
        <v>349</v>
      </c>
      <c r="B354">
        <v>4500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135</v>
      </c>
      <c r="W354">
        <v>4850</v>
      </c>
      <c r="X354" t="s">
        <v>76</v>
      </c>
      <c r="Y354">
        <v>0.92783505154639179</v>
      </c>
    </row>
    <row r="355" spans="1:27">
      <c r="A355">
        <v>350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28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4471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134</v>
      </c>
      <c r="W355">
        <v>4849</v>
      </c>
      <c r="X355" t="s">
        <v>62</v>
      </c>
      <c r="Y355">
        <v>0.922045782635595</v>
      </c>
    </row>
    <row r="356" spans="1:27">
      <c r="A356">
        <v>351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4507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134</v>
      </c>
      <c r="W356">
        <v>4859</v>
      </c>
      <c r="X356" t="s">
        <v>67</v>
      </c>
      <c r="Y356">
        <v>0.9275571105165672</v>
      </c>
    </row>
    <row r="357" spans="1:27">
      <c r="A357">
        <v>352</v>
      </c>
      <c r="B357">
        <v>0</v>
      </c>
      <c r="C357">
        <v>0</v>
      </c>
      <c r="D357">
        <v>0</v>
      </c>
      <c r="E357">
        <v>2</v>
      </c>
      <c r="F357">
        <v>0</v>
      </c>
      <c r="G357">
        <v>4477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134</v>
      </c>
      <c r="W357">
        <v>4833</v>
      </c>
      <c r="X357" t="s">
        <v>71</v>
      </c>
      <c r="Y357">
        <v>0.92633974756879789</v>
      </c>
    </row>
    <row r="358" spans="1:27">
      <c r="A358">
        <v>353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4492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11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134</v>
      </c>
      <c r="W358">
        <v>4857</v>
      </c>
      <c r="X358" t="s">
        <v>68</v>
      </c>
      <c r="Y358">
        <v>0.92485073090385006</v>
      </c>
    </row>
    <row r="359" spans="1:27">
      <c r="A359">
        <v>354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4492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131</v>
      </c>
      <c r="W359">
        <v>4847</v>
      </c>
      <c r="X359" t="s">
        <v>71</v>
      </c>
      <c r="Y359">
        <v>0.92675881988859088</v>
      </c>
    </row>
    <row r="360" spans="1:27">
      <c r="A360">
        <v>355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4511</v>
      </c>
      <c r="V360">
        <v>131</v>
      </c>
      <c r="W360">
        <v>4868</v>
      </c>
      <c r="X360" t="s">
        <v>57</v>
      </c>
      <c r="Y360">
        <v>0.92666392769104355</v>
      </c>
    </row>
    <row r="361" spans="1:27">
      <c r="A361">
        <v>356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4508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2</v>
      </c>
      <c r="S361">
        <v>0</v>
      </c>
      <c r="T361">
        <v>0</v>
      </c>
      <c r="U361">
        <v>0</v>
      </c>
      <c r="V361">
        <v>131</v>
      </c>
      <c r="W361">
        <v>4868</v>
      </c>
      <c r="X361" t="s">
        <v>66</v>
      </c>
      <c r="Y361">
        <v>0.92604765817584223</v>
      </c>
    </row>
    <row r="362" spans="1:27">
      <c r="A362">
        <v>357</v>
      </c>
      <c r="B362">
        <v>0</v>
      </c>
      <c r="C362">
        <v>0</v>
      </c>
      <c r="D362">
        <v>0</v>
      </c>
      <c r="E362">
        <v>0</v>
      </c>
      <c r="F362">
        <v>4505</v>
      </c>
      <c r="G362">
        <v>0</v>
      </c>
      <c r="H362">
        <v>0</v>
      </c>
      <c r="I362">
        <v>0</v>
      </c>
      <c r="J362">
        <v>0</v>
      </c>
      <c r="K362">
        <v>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130</v>
      </c>
      <c r="W362">
        <v>4867</v>
      </c>
      <c r="X362" t="s">
        <v>72</v>
      </c>
      <c r="Y362">
        <v>0.92562153277172798</v>
      </c>
    </row>
    <row r="363" spans="1:27">
      <c r="A363">
        <v>358</v>
      </c>
      <c r="B363">
        <v>0</v>
      </c>
      <c r="C363">
        <v>0</v>
      </c>
      <c r="D363">
        <v>0</v>
      </c>
      <c r="E363">
        <v>4494</v>
      </c>
      <c r="F363">
        <v>0</v>
      </c>
      <c r="G363">
        <v>7</v>
      </c>
      <c r="H363">
        <v>0</v>
      </c>
      <c r="I363">
        <v>0</v>
      </c>
      <c r="J363">
        <v>4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130</v>
      </c>
      <c r="W363">
        <v>4866</v>
      </c>
      <c r="X363" t="s">
        <v>73</v>
      </c>
      <c r="Y363">
        <v>0.92355117139334153</v>
      </c>
    </row>
    <row r="364" spans="1:27">
      <c r="A364">
        <v>359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2</v>
      </c>
      <c r="Q364">
        <v>4497</v>
      </c>
      <c r="R364">
        <v>0</v>
      </c>
      <c r="S364">
        <v>0</v>
      </c>
      <c r="T364">
        <v>0</v>
      </c>
      <c r="U364">
        <v>0</v>
      </c>
      <c r="V364">
        <v>130</v>
      </c>
      <c r="W364">
        <v>4860</v>
      </c>
      <c r="X364" t="s">
        <v>61</v>
      </c>
      <c r="Y364">
        <v>0.9253086419753086</v>
      </c>
    </row>
    <row r="365" spans="1:27">
      <c r="A365">
        <v>360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4484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130</v>
      </c>
      <c r="W365">
        <v>4867</v>
      </c>
      <c r="X365" t="s">
        <v>68</v>
      </c>
      <c r="Y365">
        <v>0.92130675981097188</v>
      </c>
    </row>
    <row r="366" spans="1:27">
      <c r="A366">
        <v>361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35</v>
      </c>
      <c r="H366">
        <v>0</v>
      </c>
      <c r="I366">
        <v>223</v>
      </c>
      <c r="J366">
        <v>0</v>
      </c>
      <c r="K366">
        <v>0</v>
      </c>
      <c r="L366">
        <v>0</v>
      </c>
      <c r="M366">
        <v>34</v>
      </c>
      <c r="N366">
        <v>0</v>
      </c>
      <c r="O366">
        <v>0</v>
      </c>
      <c r="P366">
        <v>0</v>
      </c>
      <c r="Q366">
        <v>4156</v>
      </c>
      <c r="R366">
        <v>0</v>
      </c>
      <c r="S366">
        <v>35</v>
      </c>
      <c r="T366">
        <v>0</v>
      </c>
      <c r="U366">
        <v>0</v>
      </c>
      <c r="V366">
        <v>148</v>
      </c>
      <c r="W366">
        <v>4844</v>
      </c>
      <c r="X366" t="s">
        <v>61</v>
      </c>
      <c r="Y366">
        <v>0.8579686209744013</v>
      </c>
      <c r="AA366">
        <v>0</v>
      </c>
    </row>
    <row r="367" spans="1:27">
      <c r="A367">
        <v>362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28</v>
      </c>
      <c r="L367">
        <v>4464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148</v>
      </c>
      <c r="W367">
        <v>4854</v>
      </c>
      <c r="X367" t="s">
        <v>66</v>
      </c>
      <c r="Y367">
        <v>0.91965389369592088</v>
      </c>
    </row>
    <row r="368" spans="1:27">
      <c r="A368">
        <v>363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4023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462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148</v>
      </c>
      <c r="W368">
        <v>4848</v>
      </c>
      <c r="X368" t="s">
        <v>68</v>
      </c>
      <c r="Y368">
        <v>0.82982673267326734</v>
      </c>
    </row>
    <row r="369" spans="1:27">
      <c r="A369">
        <v>364</v>
      </c>
      <c r="B369">
        <v>0</v>
      </c>
      <c r="C369">
        <v>0</v>
      </c>
      <c r="D369">
        <v>0</v>
      </c>
      <c r="E369">
        <v>0</v>
      </c>
      <c r="F369">
        <v>4</v>
      </c>
      <c r="G369">
        <v>0</v>
      </c>
      <c r="H369">
        <v>0</v>
      </c>
      <c r="I369">
        <v>14</v>
      </c>
      <c r="J369">
        <v>0</v>
      </c>
      <c r="K369">
        <v>4447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3</v>
      </c>
      <c r="T369">
        <v>0</v>
      </c>
      <c r="U369">
        <v>0</v>
      </c>
      <c r="V369">
        <v>148</v>
      </c>
      <c r="W369">
        <v>4834</v>
      </c>
      <c r="X369" t="s">
        <v>67</v>
      </c>
      <c r="Y369">
        <v>0.91994207695490282</v>
      </c>
      <c r="AA369">
        <v>2.8961522548613984E-3</v>
      </c>
    </row>
    <row r="370" spans="1:27">
      <c r="A370">
        <v>365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4482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148</v>
      </c>
      <c r="W370">
        <v>4848</v>
      </c>
      <c r="X370" t="s">
        <v>62</v>
      </c>
      <c r="Y370">
        <v>0.92450495049504955</v>
      </c>
    </row>
    <row r="371" spans="1:27">
      <c r="A371">
        <v>366</v>
      </c>
      <c r="B371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1</v>
      </c>
      <c r="R371">
        <v>4463</v>
      </c>
      <c r="S371">
        <v>0</v>
      </c>
      <c r="T371">
        <v>0</v>
      </c>
      <c r="U371">
        <v>0</v>
      </c>
      <c r="V371">
        <v>148</v>
      </c>
      <c r="W371">
        <v>4848</v>
      </c>
      <c r="X371" t="s">
        <v>60</v>
      </c>
      <c r="Y371">
        <v>0.92058580858085803</v>
      </c>
    </row>
    <row r="372" spans="1:27">
      <c r="A372">
        <v>367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4485</v>
      </c>
      <c r="P372">
        <v>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148</v>
      </c>
      <c r="W372">
        <v>4859</v>
      </c>
      <c r="X372" t="s">
        <v>63</v>
      </c>
      <c r="Y372">
        <v>0.92302942992385262</v>
      </c>
    </row>
    <row r="373" spans="1:27">
      <c r="A373">
        <v>368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2149</v>
      </c>
      <c r="J373">
        <v>0</v>
      </c>
      <c r="K373">
        <v>2</v>
      </c>
      <c r="L373">
        <v>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2329</v>
      </c>
      <c r="T373">
        <v>0</v>
      </c>
      <c r="U373">
        <v>0</v>
      </c>
      <c r="V373">
        <v>148</v>
      </c>
      <c r="W373">
        <v>4853</v>
      </c>
      <c r="X373" t="s">
        <v>59</v>
      </c>
      <c r="Y373">
        <v>0.47990933443230993</v>
      </c>
      <c r="AA373">
        <v>0.4428188749227282</v>
      </c>
    </row>
    <row r="374" spans="1:27">
      <c r="A374">
        <v>369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</v>
      </c>
      <c r="L374">
        <v>0</v>
      </c>
      <c r="M374">
        <v>0</v>
      </c>
      <c r="N374">
        <v>4344</v>
      </c>
      <c r="O374">
        <v>5</v>
      </c>
      <c r="P374">
        <v>0</v>
      </c>
      <c r="Q374">
        <v>134</v>
      </c>
      <c r="R374">
        <v>0</v>
      </c>
      <c r="S374">
        <v>0</v>
      </c>
      <c r="T374">
        <v>0</v>
      </c>
      <c r="U374">
        <v>0</v>
      </c>
      <c r="V374">
        <v>148</v>
      </c>
      <c r="W374">
        <v>4854</v>
      </c>
      <c r="X374" t="s">
        <v>64</v>
      </c>
      <c r="Y374">
        <v>0.89493201483312734</v>
      </c>
    </row>
    <row r="375" spans="1:27">
      <c r="A375">
        <v>370</v>
      </c>
      <c r="B375">
        <v>4458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7</v>
      </c>
      <c r="S375">
        <v>3</v>
      </c>
      <c r="T375">
        <v>0</v>
      </c>
      <c r="U375">
        <v>0</v>
      </c>
      <c r="V375">
        <v>148</v>
      </c>
      <c r="W375">
        <v>4838</v>
      </c>
      <c r="X375" t="s">
        <v>76</v>
      </c>
      <c r="Y375">
        <v>0.9214551467548574</v>
      </c>
    </row>
    <row r="376" spans="1:27">
      <c r="A376">
        <v>371</v>
      </c>
      <c r="B376">
        <v>0</v>
      </c>
      <c r="C376">
        <v>0</v>
      </c>
      <c r="D376">
        <v>2</v>
      </c>
      <c r="E376">
        <v>4483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148</v>
      </c>
      <c r="W376">
        <v>4858</v>
      </c>
      <c r="X376" t="s">
        <v>73</v>
      </c>
      <c r="Y376">
        <v>0.9228077398106217</v>
      </c>
    </row>
    <row r="377" spans="1:27">
      <c r="A377">
        <v>372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282</v>
      </c>
      <c r="J377">
        <v>2</v>
      </c>
      <c r="K377">
        <v>54</v>
      </c>
      <c r="L377">
        <v>4125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11</v>
      </c>
      <c r="T377">
        <v>0</v>
      </c>
      <c r="U377">
        <v>0</v>
      </c>
      <c r="V377">
        <v>148</v>
      </c>
      <c r="W377">
        <v>4847</v>
      </c>
      <c r="X377" t="s">
        <v>66</v>
      </c>
      <c r="Y377">
        <v>0.85104188157623273</v>
      </c>
    </row>
    <row r="378" spans="1:27">
      <c r="A378">
        <v>373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13</v>
      </c>
      <c r="J378">
        <v>0</v>
      </c>
      <c r="K378">
        <v>4474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148</v>
      </c>
      <c r="W378">
        <v>4861</v>
      </c>
      <c r="X378" t="s">
        <v>67</v>
      </c>
      <c r="Y378">
        <v>0.92038675169718165</v>
      </c>
    </row>
    <row r="379" spans="1:27">
      <c r="A379">
        <v>374</v>
      </c>
      <c r="B379">
        <v>4301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64</v>
      </c>
      <c r="R379">
        <v>119</v>
      </c>
      <c r="S379">
        <v>19</v>
      </c>
      <c r="T379">
        <v>0</v>
      </c>
      <c r="U379">
        <v>0</v>
      </c>
      <c r="V379">
        <v>131</v>
      </c>
      <c r="W379">
        <v>4877</v>
      </c>
      <c r="X379" t="s">
        <v>76</v>
      </c>
      <c r="Y379">
        <v>0.88189460734057823</v>
      </c>
    </row>
    <row r="380" spans="1:27">
      <c r="A380">
        <v>375</v>
      </c>
      <c r="B380">
        <v>0</v>
      </c>
      <c r="C380">
        <v>0</v>
      </c>
      <c r="D380">
        <v>145</v>
      </c>
      <c r="E380">
        <v>0</v>
      </c>
      <c r="F380">
        <v>0</v>
      </c>
      <c r="G380">
        <v>8</v>
      </c>
      <c r="H380">
        <v>34</v>
      </c>
      <c r="I380">
        <v>0</v>
      </c>
      <c r="J380">
        <v>3</v>
      </c>
      <c r="K380">
        <v>0</v>
      </c>
      <c r="L380">
        <v>0</v>
      </c>
      <c r="M380">
        <v>3722</v>
      </c>
      <c r="N380">
        <v>0</v>
      </c>
      <c r="O380">
        <v>0</v>
      </c>
      <c r="P380">
        <v>1</v>
      </c>
      <c r="Q380">
        <v>172</v>
      </c>
      <c r="R380">
        <v>412</v>
      </c>
      <c r="S380">
        <v>0</v>
      </c>
      <c r="T380">
        <v>0</v>
      </c>
      <c r="U380">
        <v>1</v>
      </c>
      <c r="V380">
        <v>131</v>
      </c>
      <c r="W380">
        <v>4873</v>
      </c>
      <c r="X380" t="s">
        <v>65</v>
      </c>
      <c r="Y380">
        <v>0.76380053355222655</v>
      </c>
      <c r="AA380">
        <v>3.7910513555212695E-2</v>
      </c>
    </row>
    <row r="381" spans="1:27">
      <c r="A381">
        <v>376</v>
      </c>
      <c r="B381">
        <v>0</v>
      </c>
      <c r="C381">
        <v>0</v>
      </c>
      <c r="D381">
        <v>0</v>
      </c>
      <c r="E381">
        <v>0</v>
      </c>
      <c r="F381">
        <v>2</v>
      </c>
      <c r="G381">
        <v>0</v>
      </c>
      <c r="H381">
        <v>0</v>
      </c>
      <c r="I381">
        <v>4497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8</v>
      </c>
      <c r="T381">
        <v>0</v>
      </c>
      <c r="U381">
        <v>0</v>
      </c>
      <c r="V381">
        <v>118</v>
      </c>
      <c r="W381">
        <v>4883</v>
      </c>
      <c r="X381" t="s">
        <v>69</v>
      </c>
      <c r="Y381">
        <v>0.92095023551095634</v>
      </c>
    </row>
    <row r="382" spans="1:27">
      <c r="A382">
        <v>377</v>
      </c>
      <c r="B382">
        <v>0</v>
      </c>
      <c r="C382">
        <v>0</v>
      </c>
      <c r="D382">
        <v>4480</v>
      </c>
      <c r="E382">
        <v>25</v>
      </c>
      <c r="F382">
        <v>0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115</v>
      </c>
      <c r="W382">
        <v>4898</v>
      </c>
      <c r="X382" t="s">
        <v>74</v>
      </c>
      <c r="Y382">
        <v>0.91465904450796243</v>
      </c>
    </row>
    <row r="383" spans="1:27">
      <c r="A383">
        <v>378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4517</v>
      </c>
      <c r="L383">
        <v>5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115</v>
      </c>
      <c r="W383">
        <v>4901</v>
      </c>
      <c r="X383" t="s">
        <v>67</v>
      </c>
      <c r="Y383">
        <v>0.92164864313405426</v>
      </c>
    </row>
    <row r="384" spans="1:27">
      <c r="A384">
        <v>379</v>
      </c>
      <c r="B384">
        <v>0</v>
      </c>
      <c r="C384">
        <v>0</v>
      </c>
      <c r="D384">
        <v>0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4470</v>
      </c>
      <c r="K384">
        <v>0</v>
      </c>
      <c r="L384">
        <v>0</v>
      </c>
      <c r="M384">
        <v>2</v>
      </c>
      <c r="N384">
        <v>0</v>
      </c>
      <c r="O384">
        <v>6</v>
      </c>
      <c r="P384">
        <v>27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115</v>
      </c>
      <c r="W384">
        <v>4887</v>
      </c>
      <c r="X384" t="s">
        <v>68</v>
      </c>
      <c r="Y384">
        <v>0.91467157765500307</v>
      </c>
    </row>
    <row r="385" spans="1:27">
      <c r="A385">
        <v>380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4498</v>
      </c>
      <c r="V385">
        <v>115</v>
      </c>
      <c r="W385">
        <v>4881</v>
      </c>
      <c r="X385" t="s">
        <v>57</v>
      </c>
      <c r="Y385">
        <v>0.92153247285392337</v>
      </c>
    </row>
    <row r="386" spans="1:27">
      <c r="A386">
        <v>381</v>
      </c>
      <c r="B386">
        <v>0</v>
      </c>
      <c r="C386">
        <v>0</v>
      </c>
      <c r="D386">
        <v>0</v>
      </c>
      <c r="E386">
        <v>0</v>
      </c>
      <c r="F386">
        <v>4521</v>
      </c>
      <c r="G386">
        <v>0</v>
      </c>
      <c r="H386">
        <v>0</v>
      </c>
      <c r="I386">
        <v>0</v>
      </c>
      <c r="J386">
        <v>0</v>
      </c>
      <c r="K386">
        <v>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115</v>
      </c>
      <c r="W386">
        <v>4906</v>
      </c>
      <c r="X386" t="s">
        <v>72</v>
      </c>
      <c r="Y386">
        <v>0.92152466367713004</v>
      </c>
    </row>
    <row r="387" spans="1:27">
      <c r="A387">
        <v>382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4</v>
      </c>
      <c r="I387">
        <v>1</v>
      </c>
      <c r="J387">
        <v>1</v>
      </c>
      <c r="K387">
        <v>0</v>
      </c>
      <c r="L387">
        <v>0</v>
      </c>
      <c r="M387">
        <v>4491</v>
      </c>
      <c r="N387">
        <v>0</v>
      </c>
      <c r="O387">
        <v>0</v>
      </c>
      <c r="P387">
        <v>0</v>
      </c>
      <c r="Q387">
        <v>1</v>
      </c>
      <c r="R387">
        <v>2</v>
      </c>
      <c r="S387">
        <v>0</v>
      </c>
      <c r="T387">
        <v>0</v>
      </c>
      <c r="U387">
        <v>2</v>
      </c>
      <c r="V387">
        <v>119</v>
      </c>
      <c r="W387">
        <v>4884</v>
      </c>
      <c r="X387" t="s">
        <v>65</v>
      </c>
      <c r="Y387">
        <v>0.91953316953316955</v>
      </c>
    </row>
    <row r="388" spans="1:27">
      <c r="A388">
        <v>383</v>
      </c>
      <c r="B388">
        <v>0</v>
      </c>
      <c r="C388">
        <v>0</v>
      </c>
      <c r="D388">
        <v>10</v>
      </c>
      <c r="E388">
        <v>1982</v>
      </c>
      <c r="F388">
        <v>0</v>
      </c>
      <c r="G388">
        <v>1</v>
      </c>
      <c r="H388">
        <v>0</v>
      </c>
      <c r="I388">
        <v>0</v>
      </c>
      <c r="J388">
        <v>2495</v>
      </c>
      <c r="K388">
        <v>0</v>
      </c>
      <c r="L388">
        <v>0</v>
      </c>
      <c r="M388">
        <v>0</v>
      </c>
      <c r="N388">
        <v>0</v>
      </c>
      <c r="O388">
        <v>21</v>
      </c>
      <c r="P388">
        <v>10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119</v>
      </c>
      <c r="W388">
        <v>4903</v>
      </c>
      <c r="X388" t="s">
        <v>68</v>
      </c>
      <c r="Y388">
        <v>0.50887211911074848</v>
      </c>
      <c r="AA388">
        <v>0.40424230063226596</v>
      </c>
    </row>
    <row r="389" spans="1:27">
      <c r="A389">
        <v>384</v>
      </c>
      <c r="B389">
        <v>18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18</v>
      </c>
      <c r="L389">
        <v>0</v>
      </c>
      <c r="M389">
        <v>0</v>
      </c>
      <c r="N389">
        <v>68</v>
      </c>
      <c r="O389">
        <v>32</v>
      </c>
      <c r="P389">
        <v>0</v>
      </c>
      <c r="Q389">
        <v>4252</v>
      </c>
      <c r="R389">
        <v>133</v>
      </c>
      <c r="S389">
        <v>0</v>
      </c>
      <c r="T389">
        <v>0</v>
      </c>
      <c r="U389">
        <v>0</v>
      </c>
      <c r="V389">
        <v>119</v>
      </c>
      <c r="W389">
        <v>4905</v>
      </c>
      <c r="X389" t="s">
        <v>61</v>
      </c>
      <c r="Y389">
        <v>0.86687054026503563</v>
      </c>
    </row>
    <row r="390" spans="1:27">
      <c r="A390">
        <v>385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5</v>
      </c>
      <c r="O390">
        <v>0</v>
      </c>
      <c r="P390">
        <v>0</v>
      </c>
      <c r="Q390">
        <v>1</v>
      </c>
      <c r="R390">
        <v>4508</v>
      </c>
      <c r="S390">
        <v>0</v>
      </c>
      <c r="T390">
        <v>0</v>
      </c>
      <c r="U390">
        <v>0</v>
      </c>
      <c r="V390">
        <v>119</v>
      </c>
      <c r="W390">
        <v>4901</v>
      </c>
      <c r="X390" t="s">
        <v>60</v>
      </c>
      <c r="Y390">
        <v>0.91981228320750863</v>
      </c>
    </row>
    <row r="391" spans="1:27">
      <c r="A391">
        <v>386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4</v>
      </c>
      <c r="H391">
        <v>0</v>
      </c>
      <c r="I391">
        <v>0</v>
      </c>
      <c r="J391">
        <v>472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4041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122</v>
      </c>
      <c r="W391">
        <v>4904</v>
      </c>
      <c r="X391" t="s">
        <v>62</v>
      </c>
      <c r="Y391">
        <v>0.82402120717781402</v>
      </c>
      <c r="AA391">
        <v>9.6247960848287115E-2</v>
      </c>
    </row>
    <row r="392" spans="1:27">
      <c r="A392">
        <v>387</v>
      </c>
      <c r="B392">
        <v>4</v>
      </c>
      <c r="C392">
        <v>0</v>
      </c>
      <c r="D392">
        <v>6</v>
      </c>
      <c r="E392">
        <v>2596</v>
      </c>
      <c r="F392">
        <v>0</v>
      </c>
      <c r="G392">
        <v>1</v>
      </c>
      <c r="H392">
        <v>0</v>
      </c>
      <c r="I392">
        <v>0</v>
      </c>
      <c r="J392">
        <v>1582</v>
      </c>
      <c r="K392">
        <v>0</v>
      </c>
      <c r="L392">
        <v>0</v>
      </c>
      <c r="M392">
        <v>39</v>
      </c>
      <c r="N392">
        <v>0</v>
      </c>
      <c r="O392">
        <v>226</v>
      </c>
      <c r="P392">
        <v>61</v>
      </c>
      <c r="Q392">
        <v>1</v>
      </c>
      <c r="R392">
        <v>2</v>
      </c>
      <c r="S392">
        <v>1</v>
      </c>
      <c r="T392">
        <v>0</v>
      </c>
      <c r="U392">
        <v>0</v>
      </c>
      <c r="V392">
        <v>119</v>
      </c>
      <c r="W392">
        <v>4906</v>
      </c>
      <c r="X392" t="s">
        <v>73</v>
      </c>
      <c r="Y392">
        <v>0.52914798206278024</v>
      </c>
      <c r="AA392">
        <v>0.32246229107215657</v>
      </c>
    </row>
    <row r="393" spans="1:27">
      <c r="A393">
        <v>388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4514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</v>
      </c>
      <c r="Q393">
        <v>2</v>
      </c>
      <c r="R393">
        <v>0</v>
      </c>
      <c r="S393">
        <v>0</v>
      </c>
      <c r="T393">
        <v>0</v>
      </c>
      <c r="U393">
        <v>0</v>
      </c>
      <c r="V393">
        <v>107</v>
      </c>
      <c r="W393">
        <v>4909</v>
      </c>
      <c r="X393" t="s">
        <v>68</v>
      </c>
      <c r="Y393">
        <v>0.91953554695457318</v>
      </c>
    </row>
    <row r="394" spans="1:27">
      <c r="A394">
        <v>389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4511</v>
      </c>
      <c r="J394">
        <v>0</v>
      </c>
      <c r="K394">
        <v>1</v>
      </c>
      <c r="L394">
        <v>5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107</v>
      </c>
      <c r="W394">
        <v>4909</v>
      </c>
      <c r="X394" t="s">
        <v>69</v>
      </c>
      <c r="Y394">
        <v>0.91892442452638012</v>
      </c>
    </row>
    <row r="395" spans="1:27">
      <c r="A395">
        <v>390</v>
      </c>
      <c r="B395">
        <v>0</v>
      </c>
      <c r="C395">
        <v>0</v>
      </c>
      <c r="D395">
        <v>1</v>
      </c>
      <c r="E395">
        <v>4311</v>
      </c>
      <c r="F395">
        <v>0</v>
      </c>
      <c r="G395">
        <v>9</v>
      </c>
      <c r="H395">
        <v>0</v>
      </c>
      <c r="I395">
        <v>12</v>
      </c>
      <c r="J395">
        <v>68</v>
      </c>
      <c r="K395">
        <v>1</v>
      </c>
      <c r="L395">
        <v>113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107</v>
      </c>
      <c r="W395">
        <v>4906</v>
      </c>
      <c r="X395" t="s">
        <v>73</v>
      </c>
      <c r="Y395">
        <v>0.87871993477374644</v>
      </c>
    </row>
    <row r="396" spans="1:27">
      <c r="A396">
        <v>391</v>
      </c>
      <c r="B396">
        <v>0</v>
      </c>
      <c r="C396">
        <v>0</v>
      </c>
      <c r="D396">
        <v>0</v>
      </c>
      <c r="E396">
        <v>4</v>
      </c>
      <c r="F396">
        <v>0</v>
      </c>
      <c r="G396">
        <v>0</v>
      </c>
      <c r="H396">
        <v>0</v>
      </c>
      <c r="I396">
        <v>0</v>
      </c>
      <c r="J396">
        <v>4504</v>
      </c>
      <c r="K396">
        <v>0</v>
      </c>
      <c r="L396">
        <v>0</v>
      </c>
      <c r="M396">
        <v>2</v>
      </c>
      <c r="N396">
        <v>0</v>
      </c>
      <c r="O396">
        <v>0</v>
      </c>
      <c r="P396">
        <v>12</v>
      </c>
      <c r="Q396">
        <v>0</v>
      </c>
      <c r="R396">
        <v>2</v>
      </c>
      <c r="S396">
        <v>0</v>
      </c>
      <c r="T396">
        <v>0</v>
      </c>
      <c r="U396">
        <v>0</v>
      </c>
      <c r="V396">
        <v>107</v>
      </c>
      <c r="W396">
        <v>4915</v>
      </c>
      <c r="X396" t="s">
        <v>68</v>
      </c>
      <c r="Y396">
        <v>0.91637843336724312</v>
      </c>
    </row>
    <row r="397" spans="1:27">
      <c r="A397">
        <v>392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4515</v>
      </c>
      <c r="J397">
        <v>3</v>
      </c>
      <c r="K397">
        <v>4</v>
      </c>
      <c r="L397">
        <v>4</v>
      </c>
      <c r="M397">
        <v>2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8</v>
      </c>
      <c r="T397">
        <v>0</v>
      </c>
      <c r="U397">
        <v>0</v>
      </c>
      <c r="V397">
        <v>107</v>
      </c>
      <c r="W397">
        <v>4930</v>
      </c>
      <c r="X397" t="s">
        <v>69</v>
      </c>
      <c r="Y397">
        <v>0.91582150101419879</v>
      </c>
    </row>
    <row r="398" spans="1:27">
      <c r="A398">
        <v>393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2</v>
      </c>
      <c r="J398">
        <v>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4526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108</v>
      </c>
      <c r="W398">
        <v>4927</v>
      </c>
      <c r="X398" t="s">
        <v>62</v>
      </c>
      <c r="Y398">
        <v>0.91861173127663898</v>
      </c>
    </row>
    <row r="399" spans="1:27">
      <c r="A399">
        <v>394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4518</v>
      </c>
      <c r="O399">
        <v>0</v>
      </c>
      <c r="P399">
        <v>0</v>
      </c>
      <c r="Q399">
        <v>7</v>
      </c>
      <c r="R399">
        <v>3</v>
      </c>
      <c r="S399">
        <v>0</v>
      </c>
      <c r="T399">
        <v>0</v>
      </c>
      <c r="U399">
        <v>0</v>
      </c>
      <c r="V399">
        <v>108</v>
      </c>
      <c r="W399">
        <v>4925</v>
      </c>
      <c r="X399" t="s">
        <v>64</v>
      </c>
      <c r="Y399">
        <v>0.91736040609137059</v>
      </c>
    </row>
    <row r="400" spans="1:27">
      <c r="A400">
        <v>395</v>
      </c>
      <c r="B400">
        <v>0</v>
      </c>
      <c r="C400">
        <v>0</v>
      </c>
      <c r="D400">
        <v>0</v>
      </c>
      <c r="E400">
        <v>0</v>
      </c>
      <c r="F400">
        <v>2</v>
      </c>
      <c r="G400">
        <v>0</v>
      </c>
      <c r="H400">
        <v>0</v>
      </c>
      <c r="I400">
        <v>107</v>
      </c>
      <c r="J400">
        <v>0</v>
      </c>
      <c r="K400">
        <v>4423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108</v>
      </c>
      <c r="W400">
        <v>4928</v>
      </c>
      <c r="X400" t="s">
        <v>67</v>
      </c>
      <c r="Y400">
        <v>0.89752435064935066</v>
      </c>
    </row>
    <row r="401" spans="1:25">
      <c r="A401">
        <v>396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2</v>
      </c>
      <c r="J401">
        <v>0</v>
      </c>
      <c r="K401">
        <v>4512</v>
      </c>
      <c r="L401">
        <v>8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108</v>
      </c>
      <c r="W401">
        <v>4921</v>
      </c>
      <c r="X401" t="s">
        <v>67</v>
      </c>
      <c r="Y401">
        <v>0.91688681162365371</v>
      </c>
    </row>
    <row r="402" spans="1:25">
      <c r="A402">
        <v>397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4202</v>
      </c>
      <c r="J402">
        <v>1</v>
      </c>
      <c r="K402">
        <v>12</v>
      </c>
      <c r="L402">
        <v>274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17</v>
      </c>
      <c r="S402">
        <v>26</v>
      </c>
      <c r="T402">
        <v>0</v>
      </c>
      <c r="U402">
        <v>0</v>
      </c>
      <c r="V402">
        <v>108</v>
      </c>
      <c r="W402">
        <v>4930</v>
      </c>
      <c r="X402" t="s">
        <v>69</v>
      </c>
      <c r="Y402">
        <v>0.85233265720081131</v>
      </c>
    </row>
    <row r="403" spans="1:25">
      <c r="A403">
        <v>398</v>
      </c>
      <c r="B403">
        <v>0</v>
      </c>
      <c r="C403">
        <v>0</v>
      </c>
      <c r="D403">
        <v>3975</v>
      </c>
      <c r="E403">
        <v>544</v>
      </c>
      <c r="F403">
        <v>0</v>
      </c>
      <c r="G403">
        <v>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108</v>
      </c>
      <c r="W403">
        <v>4932</v>
      </c>
      <c r="X403" t="s">
        <v>74</v>
      </c>
      <c r="Y403">
        <v>0.80596107055961075</v>
      </c>
    </row>
    <row r="404" spans="1:25">
      <c r="A404">
        <v>399</v>
      </c>
      <c r="B404">
        <v>1</v>
      </c>
      <c r="C404">
        <v>2</v>
      </c>
      <c r="D404">
        <v>5</v>
      </c>
      <c r="E404">
        <v>0</v>
      </c>
      <c r="F404">
        <v>1</v>
      </c>
      <c r="G404">
        <v>4466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1</v>
      </c>
      <c r="Q404">
        <v>59</v>
      </c>
      <c r="R404">
        <v>0</v>
      </c>
      <c r="S404">
        <v>0</v>
      </c>
      <c r="T404">
        <v>0</v>
      </c>
      <c r="U404">
        <v>0</v>
      </c>
      <c r="V404">
        <v>111</v>
      </c>
      <c r="W404">
        <v>4935</v>
      </c>
      <c r="X404" t="s">
        <v>71</v>
      </c>
      <c r="Y404">
        <v>0.90496453900709217</v>
      </c>
    </row>
    <row r="405" spans="1:25">
      <c r="A405">
        <v>400</v>
      </c>
      <c r="B405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2</v>
      </c>
      <c r="K405">
        <v>0</v>
      </c>
      <c r="L405">
        <v>0</v>
      </c>
      <c r="M405">
        <v>0</v>
      </c>
      <c r="N405">
        <v>2</v>
      </c>
      <c r="O405">
        <v>0</v>
      </c>
      <c r="P405">
        <v>1</v>
      </c>
      <c r="Q405">
        <v>1</v>
      </c>
      <c r="R405">
        <v>4516</v>
      </c>
      <c r="S405">
        <v>0</v>
      </c>
      <c r="T405">
        <v>0</v>
      </c>
      <c r="U405">
        <v>0</v>
      </c>
      <c r="V405">
        <v>112</v>
      </c>
      <c r="W405">
        <v>4925</v>
      </c>
      <c r="X405" t="s">
        <v>60</v>
      </c>
      <c r="Y405">
        <v>0.91695431472081224</v>
      </c>
    </row>
    <row r="406" spans="1:25">
      <c r="A406">
        <v>401</v>
      </c>
      <c r="B406">
        <v>4497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2</v>
      </c>
      <c r="R406">
        <v>0</v>
      </c>
      <c r="S406">
        <v>17</v>
      </c>
      <c r="T406">
        <v>0</v>
      </c>
      <c r="U406">
        <v>0</v>
      </c>
      <c r="V406">
        <v>115</v>
      </c>
      <c r="W406">
        <v>4919</v>
      </c>
      <c r="X406" t="s">
        <v>76</v>
      </c>
      <c r="Y406">
        <v>0.91421020532628583</v>
      </c>
    </row>
    <row r="407" spans="1:25">
      <c r="A407">
        <v>402</v>
      </c>
      <c r="B407">
        <v>104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4418</v>
      </c>
      <c r="R407">
        <v>0</v>
      </c>
      <c r="S407">
        <v>0</v>
      </c>
      <c r="T407">
        <v>0</v>
      </c>
      <c r="U407">
        <v>0</v>
      </c>
      <c r="V407">
        <v>115</v>
      </c>
      <c r="W407">
        <v>4927</v>
      </c>
      <c r="X407" t="s">
        <v>61</v>
      </c>
      <c r="Y407">
        <v>0.89669169880251676</v>
      </c>
    </row>
    <row r="408" spans="1:25">
      <c r="A408">
        <v>403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4521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120</v>
      </c>
      <c r="W408">
        <v>4925</v>
      </c>
      <c r="X408" t="s">
        <v>67</v>
      </c>
      <c r="Y408">
        <v>0.91796954314720813</v>
      </c>
    </row>
    <row r="409" spans="1:25">
      <c r="A409">
        <v>404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4515</v>
      </c>
      <c r="R409">
        <v>1</v>
      </c>
      <c r="S409">
        <v>0</v>
      </c>
      <c r="T409">
        <v>0</v>
      </c>
      <c r="U409">
        <v>0</v>
      </c>
      <c r="V409">
        <v>121</v>
      </c>
      <c r="W409">
        <v>4923</v>
      </c>
      <c r="X409" t="s">
        <v>61</v>
      </c>
      <c r="Y409">
        <v>0.91712370505789154</v>
      </c>
    </row>
    <row r="410" spans="1:25">
      <c r="A410">
        <v>405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4525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121</v>
      </c>
      <c r="W410">
        <v>4932</v>
      </c>
      <c r="X410" t="s">
        <v>64</v>
      </c>
      <c r="Y410">
        <v>0.91747769667477697</v>
      </c>
    </row>
    <row r="411" spans="1:25">
      <c r="A411">
        <v>406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4512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120</v>
      </c>
      <c r="W411">
        <v>4919</v>
      </c>
      <c r="X411" t="s">
        <v>71</v>
      </c>
      <c r="Y411">
        <v>0.91725960561089648</v>
      </c>
    </row>
    <row r="412" spans="1:25">
      <c r="A412">
        <v>407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4507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137</v>
      </c>
      <c r="W412">
        <v>4916</v>
      </c>
      <c r="X412" t="s">
        <v>66</v>
      </c>
      <c r="Y412">
        <v>0.91680227827502037</v>
      </c>
    </row>
    <row r="413" spans="1:25">
      <c r="A413">
        <v>408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</v>
      </c>
      <c r="L413">
        <v>4506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134</v>
      </c>
      <c r="W413">
        <v>4916</v>
      </c>
      <c r="X413" t="s">
        <v>66</v>
      </c>
      <c r="Y413">
        <v>0.91659886086248987</v>
      </c>
    </row>
    <row r="414" spans="1:25">
      <c r="A414">
        <v>409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4512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134</v>
      </c>
      <c r="W414">
        <v>4922</v>
      </c>
      <c r="X414" t="s">
        <v>66</v>
      </c>
      <c r="Y414">
        <v>0.91670052824055259</v>
      </c>
    </row>
    <row r="415" spans="1:25">
      <c r="A415">
        <v>410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4509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133</v>
      </c>
      <c r="W415">
        <v>4920</v>
      </c>
      <c r="X415" t="s">
        <v>71</v>
      </c>
      <c r="Y415">
        <v>0.91646341463414638</v>
      </c>
    </row>
    <row r="416" spans="1:25">
      <c r="A416">
        <v>411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4512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133</v>
      </c>
      <c r="W416">
        <v>4924</v>
      </c>
      <c r="X416" t="s">
        <v>66</v>
      </c>
      <c r="Y416">
        <v>0.91632818846466291</v>
      </c>
    </row>
    <row r="417" spans="1:25">
      <c r="A417">
        <v>412</v>
      </c>
      <c r="B417">
        <v>0</v>
      </c>
      <c r="C417">
        <v>0</v>
      </c>
      <c r="D417">
        <v>0</v>
      </c>
      <c r="E417">
        <v>0</v>
      </c>
      <c r="F417">
        <v>4508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132</v>
      </c>
      <c r="W417">
        <v>4920</v>
      </c>
      <c r="X417" t="s">
        <v>72</v>
      </c>
      <c r="Y417">
        <v>0.91626016260162602</v>
      </c>
    </row>
    <row r="418" spans="1:25">
      <c r="A418">
        <v>413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4498</v>
      </c>
      <c r="N418">
        <v>0</v>
      </c>
      <c r="O418">
        <v>0</v>
      </c>
      <c r="P418">
        <v>0</v>
      </c>
      <c r="Q418">
        <v>0</v>
      </c>
      <c r="R418">
        <v>4</v>
      </c>
      <c r="S418">
        <v>0</v>
      </c>
      <c r="T418">
        <v>0</v>
      </c>
      <c r="U418">
        <v>0</v>
      </c>
      <c r="V418">
        <v>132</v>
      </c>
      <c r="W418">
        <v>4917</v>
      </c>
      <c r="X418" t="s">
        <v>65</v>
      </c>
      <c r="Y418">
        <v>0.91478543827537118</v>
      </c>
    </row>
    <row r="419" spans="1:25">
      <c r="A419">
        <v>414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4512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132</v>
      </c>
      <c r="W419">
        <v>4927</v>
      </c>
      <c r="X419" t="s">
        <v>66</v>
      </c>
      <c r="Y419">
        <v>0.91577024558554898</v>
      </c>
    </row>
    <row r="420" spans="1:25">
      <c r="A420">
        <v>415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4493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</v>
      </c>
      <c r="T420">
        <v>0</v>
      </c>
      <c r="U420">
        <v>0</v>
      </c>
      <c r="V420">
        <v>133</v>
      </c>
      <c r="W420">
        <v>4911</v>
      </c>
      <c r="X420" t="s">
        <v>67</v>
      </c>
      <c r="Y420">
        <v>0.91488495214823862</v>
      </c>
    </row>
    <row r="421" spans="1:25">
      <c r="A421">
        <v>416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4509</v>
      </c>
      <c r="R421">
        <v>0</v>
      </c>
      <c r="S421">
        <v>0</v>
      </c>
      <c r="T421">
        <v>0</v>
      </c>
      <c r="U421">
        <v>0</v>
      </c>
      <c r="V421">
        <v>133</v>
      </c>
      <c r="W421">
        <v>4926</v>
      </c>
      <c r="X421" t="s">
        <v>61</v>
      </c>
      <c r="Y421">
        <v>0.91534713763702802</v>
      </c>
    </row>
    <row r="422" spans="1:25">
      <c r="A422">
        <v>417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4495</v>
      </c>
      <c r="S422">
        <v>0</v>
      </c>
      <c r="T422">
        <v>0</v>
      </c>
      <c r="U422">
        <v>0</v>
      </c>
      <c r="V422">
        <v>133</v>
      </c>
      <c r="W422">
        <v>4914</v>
      </c>
      <c r="X422" t="s">
        <v>60</v>
      </c>
      <c r="Y422">
        <v>0.91473341473341474</v>
      </c>
    </row>
    <row r="423" spans="1:25">
      <c r="A423">
        <v>418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4505</v>
      </c>
      <c r="T423">
        <v>0</v>
      </c>
      <c r="U423">
        <v>0</v>
      </c>
      <c r="V423">
        <v>133</v>
      </c>
      <c r="W423">
        <v>4926</v>
      </c>
      <c r="X423" t="s">
        <v>59</v>
      </c>
      <c r="Y423">
        <v>0.91453511977263502</v>
      </c>
    </row>
    <row r="424" spans="1:25">
      <c r="A424">
        <v>419</v>
      </c>
      <c r="B424">
        <v>0</v>
      </c>
      <c r="C424">
        <v>1</v>
      </c>
      <c r="D424">
        <v>0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4495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133</v>
      </c>
      <c r="W424">
        <v>4918</v>
      </c>
      <c r="X424" t="s">
        <v>67</v>
      </c>
      <c r="Y424">
        <v>0.91398942659617732</v>
      </c>
    </row>
    <row r="425" spans="1:25">
      <c r="A425">
        <v>420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4506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132</v>
      </c>
      <c r="W425">
        <v>4927</v>
      </c>
      <c r="X425" t="s">
        <v>71</v>
      </c>
      <c r="Y425">
        <v>0.91455246600365336</v>
      </c>
    </row>
    <row r="426" spans="1:25">
      <c r="A426">
        <v>421</v>
      </c>
      <c r="B426">
        <v>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4501</v>
      </c>
      <c r="T426">
        <v>0</v>
      </c>
      <c r="U426">
        <v>0</v>
      </c>
      <c r="V426">
        <v>132</v>
      </c>
      <c r="W426">
        <v>4926</v>
      </c>
      <c r="X426" t="s">
        <v>59</v>
      </c>
      <c r="Y426">
        <v>0.91372310190824202</v>
      </c>
    </row>
    <row r="427" spans="1:25">
      <c r="A427">
        <v>422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4503</v>
      </c>
      <c r="R427">
        <v>0</v>
      </c>
      <c r="S427">
        <v>0</v>
      </c>
      <c r="T427">
        <v>0</v>
      </c>
      <c r="U427">
        <v>0</v>
      </c>
      <c r="V427">
        <v>132</v>
      </c>
      <c r="W427">
        <v>4928</v>
      </c>
      <c r="X427" t="s">
        <v>61</v>
      </c>
      <c r="Y427">
        <v>0.91375811688311692</v>
      </c>
    </row>
    <row r="428" spans="1:25">
      <c r="A428">
        <v>423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4484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25</v>
      </c>
      <c r="T428">
        <v>0</v>
      </c>
      <c r="U428">
        <v>0</v>
      </c>
      <c r="V428">
        <v>132</v>
      </c>
      <c r="W428">
        <v>4933</v>
      </c>
      <c r="X428" t="s">
        <v>69</v>
      </c>
      <c r="Y428">
        <v>0.90898033650922361</v>
      </c>
    </row>
    <row r="429" spans="1:25">
      <c r="A429">
        <v>424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4504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132</v>
      </c>
      <c r="W429">
        <v>4930</v>
      </c>
      <c r="X429" t="s">
        <v>67</v>
      </c>
      <c r="Y429">
        <v>0.91359026369168361</v>
      </c>
    </row>
    <row r="430" spans="1:25">
      <c r="A430">
        <v>425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2</v>
      </c>
      <c r="J430">
        <v>0</v>
      </c>
      <c r="K430">
        <v>0</v>
      </c>
      <c r="L430">
        <v>0</v>
      </c>
      <c r="M430">
        <v>4504</v>
      </c>
      <c r="N430">
        <v>0</v>
      </c>
      <c r="O430">
        <v>0</v>
      </c>
      <c r="P430">
        <v>0</v>
      </c>
      <c r="Q430">
        <v>2</v>
      </c>
      <c r="R430">
        <v>0</v>
      </c>
      <c r="S430">
        <v>0</v>
      </c>
      <c r="T430">
        <v>0</v>
      </c>
      <c r="U430">
        <v>0</v>
      </c>
      <c r="V430">
        <v>132</v>
      </c>
      <c r="W430">
        <v>4934</v>
      </c>
      <c r="X430" t="s">
        <v>65</v>
      </c>
      <c r="Y430">
        <v>0.91284961491690308</v>
      </c>
    </row>
    <row r="431" spans="1:25">
      <c r="A431">
        <v>426</v>
      </c>
      <c r="B431">
        <v>0</v>
      </c>
      <c r="C431">
        <v>0</v>
      </c>
      <c r="D431">
        <v>0</v>
      </c>
      <c r="E431">
        <v>0</v>
      </c>
      <c r="F431">
        <v>3</v>
      </c>
      <c r="G431">
        <v>0</v>
      </c>
      <c r="H431">
        <v>0</v>
      </c>
      <c r="I431">
        <v>2</v>
      </c>
      <c r="J431">
        <v>0</v>
      </c>
      <c r="K431">
        <v>4495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132</v>
      </c>
      <c r="W431">
        <v>4927</v>
      </c>
      <c r="X431" t="s">
        <v>67</v>
      </c>
      <c r="Y431">
        <v>0.91231987010351123</v>
      </c>
    </row>
    <row r="432" spans="1:25">
      <c r="A432">
        <v>427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4485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132</v>
      </c>
      <c r="W432">
        <v>4913</v>
      </c>
      <c r="X432" t="s">
        <v>71</v>
      </c>
      <c r="Y432">
        <v>0.91288418481579481</v>
      </c>
    </row>
    <row r="433" spans="1:27">
      <c r="A433">
        <v>428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13</v>
      </c>
      <c r="K433">
        <v>0</v>
      </c>
      <c r="L433">
        <v>0</v>
      </c>
      <c r="M433">
        <v>0</v>
      </c>
      <c r="N433">
        <v>0</v>
      </c>
      <c r="O433">
        <v>4489</v>
      </c>
      <c r="P433">
        <v>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133</v>
      </c>
      <c r="W433">
        <v>4933</v>
      </c>
      <c r="X433" t="s">
        <v>63</v>
      </c>
      <c r="Y433">
        <v>0.90999391850800726</v>
      </c>
    </row>
    <row r="434" spans="1:27">
      <c r="A434">
        <v>429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4489</v>
      </c>
      <c r="K434">
        <v>0</v>
      </c>
      <c r="L434">
        <v>0</v>
      </c>
      <c r="M434">
        <v>1</v>
      </c>
      <c r="N434">
        <v>0</v>
      </c>
      <c r="O434">
        <v>1</v>
      </c>
      <c r="P434">
        <v>13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133</v>
      </c>
      <c r="W434">
        <v>4934</v>
      </c>
      <c r="X434" t="s">
        <v>68</v>
      </c>
      <c r="Y434">
        <v>0.90980948520470206</v>
      </c>
    </row>
    <row r="435" spans="1:27">
      <c r="A435">
        <v>430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2953</v>
      </c>
      <c r="K435">
        <v>0</v>
      </c>
      <c r="L435">
        <v>2</v>
      </c>
      <c r="M435">
        <v>0</v>
      </c>
      <c r="N435">
        <v>0</v>
      </c>
      <c r="O435">
        <v>0</v>
      </c>
      <c r="P435">
        <v>1544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133</v>
      </c>
      <c r="W435">
        <v>4931</v>
      </c>
      <c r="X435" t="s">
        <v>68</v>
      </c>
      <c r="Y435">
        <v>0.59886432772257148</v>
      </c>
    </row>
    <row r="436" spans="1:27">
      <c r="A436">
        <v>431</v>
      </c>
      <c r="B436">
        <v>0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34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2</v>
      </c>
      <c r="R436">
        <v>0</v>
      </c>
      <c r="S436">
        <v>0</v>
      </c>
      <c r="T436">
        <v>0</v>
      </c>
      <c r="U436">
        <v>4462</v>
      </c>
      <c r="V436">
        <v>133</v>
      </c>
      <c r="W436">
        <v>4931</v>
      </c>
      <c r="X436" t="s">
        <v>57</v>
      </c>
      <c r="Y436">
        <v>0.90488744676536204</v>
      </c>
    </row>
    <row r="437" spans="1:27">
      <c r="A437">
        <v>432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3</v>
      </c>
      <c r="O437">
        <v>0</v>
      </c>
      <c r="P437">
        <v>0</v>
      </c>
      <c r="Q437">
        <v>0</v>
      </c>
      <c r="R437">
        <v>4496</v>
      </c>
      <c r="S437">
        <v>0</v>
      </c>
      <c r="T437">
        <v>0</v>
      </c>
      <c r="U437">
        <v>0</v>
      </c>
      <c r="V437">
        <v>133</v>
      </c>
      <c r="W437">
        <v>4933</v>
      </c>
      <c r="X437" t="s">
        <v>60</v>
      </c>
      <c r="Y437">
        <v>0.91141293330630446</v>
      </c>
    </row>
    <row r="438" spans="1:27">
      <c r="A438">
        <v>433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4463</v>
      </c>
      <c r="K438">
        <v>0</v>
      </c>
      <c r="L438">
        <v>0</v>
      </c>
      <c r="M438">
        <v>2</v>
      </c>
      <c r="N438">
        <v>0</v>
      </c>
      <c r="O438">
        <v>1</v>
      </c>
      <c r="P438">
        <v>42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133</v>
      </c>
      <c r="W438">
        <v>4942</v>
      </c>
      <c r="X438" t="s">
        <v>68</v>
      </c>
      <c r="Y438">
        <v>0.9030756778632133</v>
      </c>
    </row>
    <row r="439" spans="1:27">
      <c r="A439">
        <v>434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70</v>
      </c>
      <c r="N439">
        <v>1</v>
      </c>
      <c r="O439">
        <v>0</v>
      </c>
      <c r="P439">
        <v>0</v>
      </c>
      <c r="Q439">
        <v>2</v>
      </c>
      <c r="R439">
        <v>4428</v>
      </c>
      <c r="S439">
        <v>0</v>
      </c>
      <c r="T439">
        <v>0</v>
      </c>
      <c r="U439">
        <v>0</v>
      </c>
      <c r="V439">
        <v>133</v>
      </c>
      <c r="W439">
        <v>4937</v>
      </c>
      <c r="X439" t="s">
        <v>60</v>
      </c>
      <c r="Y439">
        <v>0.89690095199513875</v>
      </c>
    </row>
    <row r="440" spans="1:27">
      <c r="A440">
        <v>435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4505</v>
      </c>
      <c r="S440">
        <v>0</v>
      </c>
      <c r="T440">
        <v>0</v>
      </c>
      <c r="U440">
        <v>0</v>
      </c>
      <c r="V440">
        <v>133</v>
      </c>
      <c r="W440">
        <v>4945</v>
      </c>
      <c r="X440" t="s">
        <v>60</v>
      </c>
      <c r="Y440">
        <v>0.9110212335692619</v>
      </c>
      <c r="AA440">
        <v>4.0444893832153691E-4</v>
      </c>
    </row>
    <row r="441" spans="1:27">
      <c r="A441">
        <v>436</v>
      </c>
      <c r="B441">
        <v>0</v>
      </c>
      <c r="C441">
        <v>0</v>
      </c>
      <c r="D441">
        <v>0</v>
      </c>
      <c r="E441">
        <v>0</v>
      </c>
      <c r="F441">
        <v>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4494</v>
      </c>
      <c r="V441">
        <v>133</v>
      </c>
      <c r="W441">
        <v>4940</v>
      </c>
      <c r="X441" t="s">
        <v>57</v>
      </c>
      <c r="Y441">
        <v>0.90971659919028336</v>
      </c>
    </row>
    <row r="442" spans="1:27">
      <c r="A442">
        <v>437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</v>
      </c>
      <c r="Q442">
        <v>0</v>
      </c>
      <c r="R442">
        <v>0</v>
      </c>
      <c r="S442">
        <v>0</v>
      </c>
      <c r="T442">
        <v>4506</v>
      </c>
      <c r="U442">
        <v>0</v>
      </c>
      <c r="V442">
        <v>133</v>
      </c>
      <c r="W442">
        <v>4948</v>
      </c>
      <c r="X442" t="s">
        <v>58</v>
      </c>
      <c r="Y442">
        <v>0.91067097817299925</v>
      </c>
    </row>
    <row r="443" spans="1:27">
      <c r="A443">
        <v>438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4512</v>
      </c>
      <c r="U443">
        <v>0</v>
      </c>
      <c r="V443">
        <v>133</v>
      </c>
      <c r="W443">
        <v>4950</v>
      </c>
      <c r="X443" t="s">
        <v>58</v>
      </c>
      <c r="Y443">
        <v>0.9115151515151515</v>
      </c>
    </row>
    <row r="444" spans="1:27">
      <c r="A444">
        <v>439</v>
      </c>
      <c r="B444">
        <v>0</v>
      </c>
      <c r="C444">
        <v>0</v>
      </c>
      <c r="D444">
        <v>4495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133</v>
      </c>
      <c r="W444">
        <v>4935</v>
      </c>
      <c r="X444" t="s">
        <v>74</v>
      </c>
      <c r="Y444">
        <v>0.91084093211752781</v>
      </c>
    </row>
    <row r="445" spans="1:27">
      <c r="A445">
        <v>440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4509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133</v>
      </c>
      <c r="W445">
        <v>4949</v>
      </c>
      <c r="X445" t="s">
        <v>71</v>
      </c>
      <c r="Y445">
        <v>0.91109315013133962</v>
      </c>
    </row>
    <row r="446" spans="1:27">
      <c r="A446">
        <v>441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4510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133</v>
      </c>
      <c r="W446">
        <v>4952</v>
      </c>
      <c r="X446" t="s">
        <v>67</v>
      </c>
      <c r="Y446">
        <v>0.9107431340872375</v>
      </c>
    </row>
    <row r="447" spans="1:27">
      <c r="A447">
        <v>442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4500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133</v>
      </c>
      <c r="W447">
        <v>4942</v>
      </c>
      <c r="X447" t="s">
        <v>63</v>
      </c>
      <c r="Y447">
        <v>0.91056252529340354</v>
      </c>
    </row>
    <row r="448" spans="1:27">
      <c r="A448">
        <v>443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4504</v>
      </c>
      <c r="R448">
        <v>0</v>
      </c>
      <c r="S448">
        <v>0</v>
      </c>
      <c r="T448">
        <v>0</v>
      </c>
      <c r="U448">
        <v>1</v>
      </c>
      <c r="V448">
        <v>133</v>
      </c>
      <c r="W448">
        <v>4949</v>
      </c>
      <c r="X448" t="s">
        <v>61</v>
      </c>
      <c r="Y448">
        <v>0.91008284501919579</v>
      </c>
    </row>
    <row r="449" spans="1:25">
      <c r="A449">
        <v>444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4511</v>
      </c>
      <c r="R449">
        <v>0</v>
      </c>
      <c r="S449">
        <v>0</v>
      </c>
      <c r="T449">
        <v>0</v>
      </c>
      <c r="U449">
        <v>0</v>
      </c>
      <c r="V449">
        <v>133</v>
      </c>
      <c r="W449">
        <v>4956</v>
      </c>
      <c r="X449" t="s">
        <v>61</v>
      </c>
      <c r="Y449">
        <v>0.91020984665052462</v>
      </c>
    </row>
    <row r="450" spans="1:25">
      <c r="A450">
        <v>445</v>
      </c>
      <c r="B450">
        <v>0</v>
      </c>
      <c r="C450">
        <v>0</v>
      </c>
      <c r="D450">
        <v>4511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134</v>
      </c>
      <c r="W450">
        <v>4956</v>
      </c>
      <c r="X450" t="s">
        <v>74</v>
      </c>
      <c r="Y450">
        <v>0.91020984665052462</v>
      </c>
    </row>
    <row r="451" spans="1:25">
      <c r="A451">
        <v>446</v>
      </c>
      <c r="B451">
        <v>0</v>
      </c>
      <c r="C451">
        <v>0</v>
      </c>
      <c r="D451">
        <v>4508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134</v>
      </c>
      <c r="W451">
        <v>4958</v>
      </c>
      <c r="X451" t="s">
        <v>74</v>
      </c>
      <c r="Y451">
        <v>0.90923759580475993</v>
      </c>
    </row>
    <row r="452" spans="1:25">
      <c r="A452">
        <v>447</v>
      </c>
      <c r="B452">
        <v>0</v>
      </c>
      <c r="C452">
        <v>0</v>
      </c>
      <c r="D452">
        <v>0</v>
      </c>
      <c r="E452">
        <v>0</v>
      </c>
      <c r="F452">
        <v>4505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134</v>
      </c>
      <c r="W452">
        <v>4953</v>
      </c>
      <c r="X452" t="s">
        <v>72</v>
      </c>
      <c r="Y452">
        <v>0.90954976781748431</v>
      </c>
    </row>
    <row r="453" spans="1:25">
      <c r="A453">
        <v>448</v>
      </c>
      <c r="B453">
        <v>4500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1</v>
      </c>
      <c r="R453">
        <v>2</v>
      </c>
      <c r="S453">
        <v>2</v>
      </c>
      <c r="T453">
        <v>0</v>
      </c>
      <c r="U453">
        <v>0</v>
      </c>
      <c r="V453">
        <v>134</v>
      </c>
      <c r="W453">
        <v>4954</v>
      </c>
      <c r="X453" t="s">
        <v>76</v>
      </c>
      <c r="Y453">
        <v>0.9083568833266048</v>
      </c>
    </row>
    <row r="454" spans="1:25">
      <c r="A454">
        <v>449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4510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134</v>
      </c>
      <c r="W454">
        <v>4961</v>
      </c>
      <c r="X454" t="s">
        <v>67</v>
      </c>
      <c r="Y454">
        <v>0.90909090909090906</v>
      </c>
    </row>
    <row r="455" spans="1:25">
      <c r="A455">
        <v>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4513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134</v>
      </c>
      <c r="W455">
        <v>4965</v>
      </c>
      <c r="X455" t="s">
        <v>69</v>
      </c>
      <c r="Y455">
        <v>0.90896273917421955</v>
      </c>
    </row>
    <row r="456" spans="1:25">
      <c r="A456">
        <v>451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39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0</v>
      </c>
      <c r="P456">
        <v>0</v>
      </c>
      <c r="Q456">
        <v>2</v>
      </c>
      <c r="R456">
        <v>0</v>
      </c>
      <c r="S456">
        <v>4462</v>
      </c>
      <c r="T456">
        <v>0</v>
      </c>
      <c r="U456">
        <v>0</v>
      </c>
      <c r="V456">
        <v>134</v>
      </c>
      <c r="W456">
        <v>4958</v>
      </c>
      <c r="X456" t="s">
        <v>59</v>
      </c>
      <c r="Y456">
        <v>0.89995966115369097</v>
      </c>
    </row>
    <row r="457" spans="1:25">
      <c r="A457">
        <v>452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4512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134</v>
      </c>
      <c r="W457">
        <v>4965</v>
      </c>
      <c r="X457" t="s">
        <v>65</v>
      </c>
      <c r="Y457">
        <v>0.90876132930513598</v>
      </c>
    </row>
    <row r="458" spans="1:25">
      <c r="A458">
        <v>453</v>
      </c>
      <c r="B458">
        <v>4512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135</v>
      </c>
      <c r="W458">
        <v>4966</v>
      </c>
      <c r="X458" t="s">
        <v>76</v>
      </c>
      <c r="Y458">
        <v>0.90857833266210231</v>
      </c>
    </row>
    <row r="459" spans="1:25">
      <c r="A459">
        <v>454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33</v>
      </c>
      <c r="L459">
        <v>0</v>
      </c>
      <c r="M459">
        <v>0</v>
      </c>
      <c r="N459">
        <v>4407</v>
      </c>
      <c r="O459">
        <v>9</v>
      </c>
      <c r="P459">
        <v>1</v>
      </c>
      <c r="Q459">
        <v>40</v>
      </c>
      <c r="R459">
        <v>5</v>
      </c>
      <c r="S459">
        <v>0</v>
      </c>
      <c r="T459">
        <v>0</v>
      </c>
      <c r="U459">
        <v>0</v>
      </c>
      <c r="V459">
        <v>134</v>
      </c>
      <c r="W459">
        <v>4949</v>
      </c>
      <c r="X459" t="s">
        <v>64</v>
      </c>
      <c r="Y459">
        <v>0.89048292584360478</v>
      </c>
    </row>
    <row r="460" spans="1:25">
      <c r="A460">
        <v>455</v>
      </c>
      <c r="B460">
        <v>0</v>
      </c>
      <c r="C460">
        <v>0</v>
      </c>
      <c r="D460">
        <v>183</v>
      </c>
      <c r="E460">
        <v>0</v>
      </c>
      <c r="F460">
        <v>0</v>
      </c>
      <c r="G460">
        <v>0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3972</v>
      </c>
      <c r="N460">
        <v>0</v>
      </c>
      <c r="O460">
        <v>0</v>
      </c>
      <c r="P460">
        <v>0</v>
      </c>
      <c r="Q460">
        <v>357</v>
      </c>
      <c r="R460">
        <v>1</v>
      </c>
      <c r="S460">
        <v>0</v>
      </c>
      <c r="T460">
        <v>0</v>
      </c>
      <c r="U460">
        <v>1</v>
      </c>
      <c r="V460">
        <v>134</v>
      </c>
      <c r="W460">
        <v>4971</v>
      </c>
      <c r="X460" t="s">
        <v>65</v>
      </c>
      <c r="Y460">
        <v>0.79903439951719979</v>
      </c>
    </row>
    <row r="461" spans="1:25">
      <c r="A461">
        <v>456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4199</v>
      </c>
      <c r="I461">
        <v>0</v>
      </c>
      <c r="J461">
        <v>0</v>
      </c>
      <c r="K461">
        <v>0</v>
      </c>
      <c r="L461">
        <v>0</v>
      </c>
      <c r="M461">
        <v>63</v>
      </c>
      <c r="N461">
        <v>0</v>
      </c>
      <c r="O461">
        <v>9</v>
      </c>
      <c r="P461">
        <v>62</v>
      </c>
      <c r="Q461">
        <v>2</v>
      </c>
      <c r="R461">
        <v>0</v>
      </c>
      <c r="S461">
        <v>0</v>
      </c>
      <c r="T461">
        <v>0</v>
      </c>
      <c r="U461">
        <v>182</v>
      </c>
      <c r="V461">
        <v>134</v>
      </c>
      <c r="W461">
        <v>4973</v>
      </c>
      <c r="X461" t="s">
        <v>70</v>
      </c>
      <c r="Y461">
        <v>0.84435954152423087</v>
      </c>
    </row>
    <row r="462" spans="1:25">
      <c r="A462">
        <v>457</v>
      </c>
      <c r="B462">
        <v>3</v>
      </c>
      <c r="C462">
        <v>0</v>
      </c>
      <c r="D462">
        <v>13</v>
      </c>
      <c r="E462">
        <v>4480</v>
      </c>
      <c r="F462">
        <v>0</v>
      </c>
      <c r="G462">
        <v>14</v>
      </c>
      <c r="H462">
        <v>0</v>
      </c>
      <c r="I462">
        <v>0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134</v>
      </c>
      <c r="W462">
        <v>4969</v>
      </c>
      <c r="X462" t="s">
        <v>73</v>
      </c>
      <c r="Y462">
        <v>0.90158985711410744</v>
      </c>
    </row>
    <row r="463" spans="1:25">
      <c r="A463">
        <v>458</v>
      </c>
      <c r="B463">
        <v>0</v>
      </c>
      <c r="C463">
        <v>0</v>
      </c>
      <c r="D463">
        <v>0</v>
      </c>
      <c r="E463">
        <v>211</v>
      </c>
      <c r="F463">
        <v>0</v>
      </c>
      <c r="G463">
        <v>4302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134</v>
      </c>
      <c r="W463">
        <v>4973</v>
      </c>
      <c r="X463" t="s">
        <v>71</v>
      </c>
      <c r="Y463">
        <v>0.86507138548160067</v>
      </c>
    </row>
    <row r="464" spans="1:25">
      <c r="A464">
        <v>459</v>
      </c>
      <c r="B464">
        <v>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4482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5</v>
      </c>
      <c r="S464">
        <v>25</v>
      </c>
      <c r="T464">
        <v>0</v>
      </c>
      <c r="U464">
        <v>0</v>
      </c>
      <c r="V464">
        <v>135</v>
      </c>
      <c r="W464">
        <v>4975</v>
      </c>
      <c r="X464" t="s">
        <v>69</v>
      </c>
      <c r="Y464">
        <v>0.90090452261306531</v>
      </c>
    </row>
    <row r="465" spans="1:25">
      <c r="A465">
        <v>460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19</v>
      </c>
      <c r="K465">
        <v>0</v>
      </c>
      <c r="L465">
        <v>0</v>
      </c>
      <c r="M465">
        <v>0</v>
      </c>
      <c r="N465">
        <v>0</v>
      </c>
      <c r="O465">
        <v>4489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134</v>
      </c>
      <c r="W465">
        <v>4969</v>
      </c>
      <c r="X465" t="s">
        <v>63</v>
      </c>
      <c r="Y465">
        <v>0.90340108673777419</v>
      </c>
    </row>
    <row r="466" spans="1:25">
      <c r="A466">
        <v>461</v>
      </c>
      <c r="B466">
        <v>4536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</v>
      </c>
      <c r="O466">
        <v>0</v>
      </c>
      <c r="P466">
        <v>0</v>
      </c>
      <c r="Q466">
        <v>2</v>
      </c>
      <c r="R466">
        <v>0</v>
      </c>
      <c r="S466">
        <v>0</v>
      </c>
      <c r="T466">
        <v>0</v>
      </c>
      <c r="U466">
        <v>0</v>
      </c>
      <c r="V466">
        <v>132</v>
      </c>
      <c r="W466">
        <v>5001</v>
      </c>
      <c r="X466" t="s">
        <v>76</v>
      </c>
      <c r="Y466">
        <v>0.90701859628074388</v>
      </c>
    </row>
    <row r="467" spans="1:25">
      <c r="A467">
        <v>462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4549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122</v>
      </c>
      <c r="W467">
        <v>5011</v>
      </c>
      <c r="X467" t="s">
        <v>71</v>
      </c>
      <c r="Y467">
        <v>0.90780283376571547</v>
      </c>
    </row>
    <row r="468" spans="1:25">
      <c r="A468">
        <v>463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12</v>
      </c>
      <c r="J468">
        <v>0</v>
      </c>
      <c r="K468">
        <v>1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4534</v>
      </c>
      <c r="T468">
        <v>0</v>
      </c>
      <c r="U468">
        <v>0</v>
      </c>
      <c r="V468">
        <v>122</v>
      </c>
      <c r="W468">
        <v>5013</v>
      </c>
      <c r="X468" t="s">
        <v>59</v>
      </c>
      <c r="Y468">
        <v>0.90444843407141429</v>
      </c>
    </row>
    <row r="469" spans="1:25">
      <c r="A469">
        <v>464</v>
      </c>
      <c r="B469">
        <v>0</v>
      </c>
      <c r="C469">
        <v>0</v>
      </c>
      <c r="D469">
        <v>4486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71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</v>
      </c>
      <c r="V469">
        <v>122</v>
      </c>
      <c r="W469">
        <v>5023</v>
      </c>
      <c r="X469" t="s">
        <v>74</v>
      </c>
      <c r="Y469">
        <v>0.89309177782201876</v>
      </c>
    </row>
    <row r="470" spans="1:25">
      <c r="A470">
        <v>465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60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4500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122</v>
      </c>
      <c r="W470">
        <v>5025</v>
      </c>
      <c r="X470" t="s">
        <v>62</v>
      </c>
      <c r="Y470">
        <v>0.89552238805970152</v>
      </c>
    </row>
    <row r="471" spans="1:25">
      <c r="A471">
        <v>466</v>
      </c>
      <c r="B471">
        <v>0</v>
      </c>
      <c r="C471">
        <v>0</v>
      </c>
      <c r="D471">
        <v>0</v>
      </c>
      <c r="E471">
        <v>0</v>
      </c>
      <c r="F471">
        <v>4557</v>
      </c>
      <c r="G471">
        <v>0</v>
      </c>
      <c r="H471">
        <v>0</v>
      </c>
      <c r="I471">
        <v>0</v>
      </c>
      <c r="J471">
        <v>0</v>
      </c>
      <c r="K471">
        <v>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122</v>
      </c>
      <c r="W471">
        <v>5027</v>
      </c>
      <c r="X471" t="s">
        <v>72</v>
      </c>
      <c r="Y471">
        <v>0.90650487368211652</v>
      </c>
    </row>
    <row r="472" spans="1:25">
      <c r="A472">
        <v>467</v>
      </c>
      <c r="B472">
        <v>0</v>
      </c>
      <c r="C472">
        <v>0</v>
      </c>
      <c r="D472">
        <v>0</v>
      </c>
      <c r="E472">
        <v>0</v>
      </c>
      <c r="F472">
        <v>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4557</v>
      </c>
      <c r="V472">
        <v>124</v>
      </c>
      <c r="W472">
        <v>5028</v>
      </c>
      <c r="X472" t="s">
        <v>57</v>
      </c>
      <c r="Y472">
        <v>0.90632458233890212</v>
      </c>
    </row>
    <row r="473" spans="1:25">
      <c r="A473">
        <v>468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4557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124</v>
      </c>
      <c r="W473">
        <v>5027</v>
      </c>
      <c r="X473" t="s">
        <v>62</v>
      </c>
      <c r="Y473">
        <v>0.90650487368211652</v>
      </c>
    </row>
    <row r="474" spans="1:25">
      <c r="A474">
        <v>469</v>
      </c>
      <c r="B474">
        <v>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15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4533</v>
      </c>
      <c r="S474">
        <v>0</v>
      </c>
      <c r="T474">
        <v>0</v>
      </c>
      <c r="U474">
        <v>0</v>
      </c>
      <c r="V474">
        <v>134</v>
      </c>
      <c r="W474">
        <v>5019</v>
      </c>
      <c r="X474" t="s">
        <v>60</v>
      </c>
      <c r="Y474">
        <v>0.90316796174536762</v>
      </c>
    </row>
    <row r="475" spans="1:25">
      <c r="A475">
        <v>470</v>
      </c>
      <c r="B475">
        <v>0</v>
      </c>
      <c r="C475">
        <v>4549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134</v>
      </c>
      <c r="W475">
        <v>5019</v>
      </c>
      <c r="X475" t="s">
        <v>75</v>
      </c>
      <c r="Y475">
        <v>0.90635584777844191</v>
      </c>
    </row>
    <row r="476" spans="1:25">
      <c r="A476">
        <v>471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4545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135</v>
      </c>
      <c r="W476">
        <v>5017</v>
      </c>
      <c r="X476" t="s">
        <v>68</v>
      </c>
      <c r="Y476">
        <v>0.90591987243372529</v>
      </c>
    </row>
    <row r="477" spans="1:25">
      <c r="A477">
        <v>472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4510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155</v>
      </c>
      <c r="W477">
        <v>4982</v>
      </c>
      <c r="X477" t="s">
        <v>67</v>
      </c>
      <c r="Y477">
        <v>0.9052589321557607</v>
      </c>
    </row>
    <row r="478" spans="1:25">
      <c r="A478">
        <v>473</v>
      </c>
      <c r="B478">
        <v>1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9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4515</v>
      </c>
      <c r="T478">
        <v>0</v>
      </c>
      <c r="U478">
        <v>0</v>
      </c>
      <c r="V478">
        <v>156</v>
      </c>
      <c r="W478">
        <v>4999</v>
      </c>
      <c r="X478" t="s">
        <v>59</v>
      </c>
      <c r="Y478">
        <v>0.90318063612722543</v>
      </c>
    </row>
    <row r="479" spans="1:25">
      <c r="A479">
        <v>474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4524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157</v>
      </c>
      <c r="W479">
        <v>4999</v>
      </c>
      <c r="X479" t="s">
        <v>71</v>
      </c>
      <c r="Y479">
        <v>0.90498099619923988</v>
      </c>
    </row>
    <row r="480" spans="1:25">
      <c r="A480">
        <v>475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4489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</v>
      </c>
      <c r="R480">
        <v>1</v>
      </c>
      <c r="S480">
        <v>35</v>
      </c>
      <c r="T480">
        <v>0</v>
      </c>
      <c r="U480">
        <v>0</v>
      </c>
      <c r="V480">
        <v>158</v>
      </c>
      <c r="W480">
        <v>5002</v>
      </c>
      <c r="X480" t="s">
        <v>69</v>
      </c>
      <c r="Y480">
        <v>0.89744102359056377</v>
      </c>
    </row>
    <row r="481" spans="1:27">
      <c r="A481">
        <v>476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4509</v>
      </c>
      <c r="N481">
        <v>0</v>
      </c>
      <c r="O481">
        <v>0</v>
      </c>
      <c r="P481">
        <v>0</v>
      </c>
      <c r="Q481">
        <v>0</v>
      </c>
      <c r="R481">
        <v>2</v>
      </c>
      <c r="S481">
        <v>0</v>
      </c>
      <c r="T481">
        <v>0</v>
      </c>
      <c r="U481">
        <v>1</v>
      </c>
      <c r="V481">
        <v>159</v>
      </c>
      <c r="W481">
        <v>4988</v>
      </c>
      <c r="X481" t="s">
        <v>65</v>
      </c>
      <c r="Y481">
        <v>0.90396952686447474</v>
      </c>
    </row>
    <row r="482" spans="1:27">
      <c r="A482">
        <v>477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4518</v>
      </c>
      <c r="M482">
        <v>0</v>
      </c>
      <c r="N482">
        <v>0</v>
      </c>
      <c r="O482">
        <v>0</v>
      </c>
      <c r="P482">
        <v>3</v>
      </c>
      <c r="Q482">
        <v>0</v>
      </c>
      <c r="R482">
        <v>1</v>
      </c>
      <c r="S482">
        <v>2</v>
      </c>
      <c r="T482">
        <v>0</v>
      </c>
      <c r="U482">
        <v>0</v>
      </c>
      <c r="V482">
        <v>160</v>
      </c>
      <c r="W482">
        <v>5002</v>
      </c>
      <c r="X482" t="s">
        <v>66</v>
      </c>
      <c r="Y482">
        <v>0.90323870451819277</v>
      </c>
    </row>
    <row r="483" spans="1:27">
      <c r="A483">
        <v>478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5</v>
      </c>
      <c r="N483">
        <v>0</v>
      </c>
      <c r="O483">
        <v>0</v>
      </c>
      <c r="P483">
        <v>0</v>
      </c>
      <c r="Q483">
        <v>4518</v>
      </c>
      <c r="R483">
        <v>0</v>
      </c>
      <c r="S483">
        <v>0</v>
      </c>
      <c r="T483">
        <v>0</v>
      </c>
      <c r="U483">
        <v>0</v>
      </c>
      <c r="V483">
        <v>160</v>
      </c>
      <c r="W483">
        <v>5001</v>
      </c>
      <c r="X483" t="s">
        <v>61</v>
      </c>
      <c r="Y483">
        <v>0.90341931613677262</v>
      </c>
    </row>
    <row r="484" spans="1:27">
      <c r="A484">
        <v>479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4520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161</v>
      </c>
      <c r="W484">
        <v>4999</v>
      </c>
      <c r="X484" t="s">
        <v>68</v>
      </c>
      <c r="Y484">
        <v>0.90418083616723344</v>
      </c>
    </row>
    <row r="485" spans="1:27">
      <c r="A485">
        <v>480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4474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32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171</v>
      </c>
      <c r="W485">
        <v>4987</v>
      </c>
      <c r="X485" t="s">
        <v>68</v>
      </c>
      <c r="Y485">
        <v>0.89713254461600156</v>
      </c>
    </row>
    <row r="486" spans="1:27">
      <c r="A486">
        <v>481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4455</v>
      </c>
      <c r="K486">
        <v>0</v>
      </c>
      <c r="L486">
        <v>0</v>
      </c>
      <c r="M486">
        <v>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178</v>
      </c>
      <c r="W486">
        <v>4945</v>
      </c>
      <c r="X486" t="s">
        <v>68</v>
      </c>
      <c r="Y486">
        <v>0.9009100101112234</v>
      </c>
    </row>
    <row r="487" spans="1:27">
      <c r="A487">
        <v>482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4489</v>
      </c>
      <c r="R487">
        <v>0</v>
      </c>
      <c r="S487">
        <v>0</v>
      </c>
      <c r="T487">
        <v>0</v>
      </c>
      <c r="U487">
        <v>0</v>
      </c>
      <c r="V487">
        <v>186</v>
      </c>
      <c r="W487">
        <v>4971</v>
      </c>
      <c r="X487" t="s">
        <v>61</v>
      </c>
      <c r="Y487">
        <v>0.90303761818547579</v>
      </c>
    </row>
    <row r="488" spans="1:27">
      <c r="A488">
        <v>483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4480</v>
      </c>
      <c r="V488">
        <v>186</v>
      </c>
      <c r="W488">
        <v>4964</v>
      </c>
      <c r="X488" t="s">
        <v>57</v>
      </c>
      <c r="Y488">
        <v>0.90249798549556814</v>
      </c>
    </row>
    <row r="489" spans="1:27">
      <c r="A489">
        <v>484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4324</v>
      </c>
      <c r="J489">
        <v>0</v>
      </c>
      <c r="K489">
        <v>10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309</v>
      </c>
      <c r="W489">
        <v>4818</v>
      </c>
      <c r="X489" t="s">
        <v>69</v>
      </c>
      <c r="Y489">
        <v>0.89746782897467825</v>
      </c>
    </row>
    <row r="490" spans="1:27">
      <c r="A490">
        <v>485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4326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349</v>
      </c>
      <c r="W490">
        <v>4812</v>
      </c>
      <c r="X490" t="s">
        <v>65</v>
      </c>
      <c r="Y490">
        <v>0.89900249376558605</v>
      </c>
    </row>
    <row r="491" spans="1:27">
      <c r="A491">
        <v>486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8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4319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348</v>
      </c>
      <c r="W491">
        <v>4813</v>
      </c>
      <c r="X491" t="s">
        <v>62</v>
      </c>
      <c r="Y491">
        <v>0.89736131311032619</v>
      </c>
      <c r="AA491">
        <v>1.6621649698732599E-3</v>
      </c>
    </row>
    <row r="492" spans="1:27">
      <c r="A492">
        <v>487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4266</v>
      </c>
      <c r="S492">
        <v>0</v>
      </c>
      <c r="T492">
        <v>0</v>
      </c>
      <c r="U492">
        <v>0</v>
      </c>
      <c r="V492">
        <v>348</v>
      </c>
      <c r="W492">
        <v>4754</v>
      </c>
      <c r="X492" t="s">
        <v>60</v>
      </c>
      <c r="Y492">
        <v>0.89734960033655864</v>
      </c>
    </row>
    <row r="493" spans="1:27">
      <c r="A493">
        <v>488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4263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417</v>
      </c>
      <c r="W493">
        <v>4751</v>
      </c>
      <c r="X493" t="s">
        <v>71</v>
      </c>
      <c r="Y493">
        <v>0.89728478215112606</v>
      </c>
    </row>
    <row r="494" spans="1:27">
      <c r="A494">
        <v>489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4265</v>
      </c>
      <c r="S494">
        <v>0</v>
      </c>
      <c r="T494">
        <v>0</v>
      </c>
      <c r="U494">
        <v>0</v>
      </c>
      <c r="V494">
        <v>417</v>
      </c>
      <c r="W494">
        <v>4754</v>
      </c>
      <c r="X494" t="s">
        <v>60</v>
      </c>
      <c r="Y494">
        <v>0.8971392511569205</v>
      </c>
    </row>
    <row r="495" spans="1:27">
      <c r="A495">
        <v>490</v>
      </c>
      <c r="B495">
        <v>0</v>
      </c>
      <c r="C495">
        <v>0</v>
      </c>
      <c r="D495">
        <v>0</v>
      </c>
      <c r="E495">
        <v>0</v>
      </c>
      <c r="F495">
        <v>4256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419</v>
      </c>
      <c r="W495">
        <v>4747</v>
      </c>
      <c r="X495" t="s">
        <v>72</v>
      </c>
      <c r="Y495">
        <v>0.89656625236991783</v>
      </c>
    </row>
    <row r="496" spans="1:27">
      <c r="A496">
        <v>491</v>
      </c>
      <c r="B496">
        <v>0</v>
      </c>
      <c r="C496">
        <v>0</v>
      </c>
      <c r="D496">
        <v>0</v>
      </c>
      <c r="E496">
        <v>4259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422</v>
      </c>
      <c r="W496">
        <v>4751</v>
      </c>
      <c r="X496" t="s">
        <v>73</v>
      </c>
      <c r="Y496">
        <v>0.89644285413597136</v>
      </c>
    </row>
    <row r="497" spans="1:25">
      <c r="A497">
        <v>492</v>
      </c>
      <c r="B497">
        <v>0</v>
      </c>
      <c r="C497">
        <v>0</v>
      </c>
      <c r="D497">
        <v>0</v>
      </c>
      <c r="E497">
        <v>0</v>
      </c>
      <c r="F497">
        <v>4249</v>
      </c>
      <c r="G497">
        <v>0</v>
      </c>
      <c r="H497">
        <v>0</v>
      </c>
      <c r="I497">
        <v>0</v>
      </c>
      <c r="J497">
        <v>0</v>
      </c>
      <c r="K497">
        <v>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426</v>
      </c>
      <c r="W497">
        <v>4747</v>
      </c>
      <c r="X497" t="s">
        <v>72</v>
      </c>
      <c r="Y497">
        <v>0.89509163682325676</v>
      </c>
    </row>
    <row r="498" spans="1:25">
      <c r="A498">
        <v>493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4255</v>
      </c>
      <c r="S498">
        <v>0</v>
      </c>
      <c r="T498">
        <v>0</v>
      </c>
      <c r="U498">
        <v>0</v>
      </c>
      <c r="V498">
        <v>426</v>
      </c>
      <c r="W498">
        <v>4749</v>
      </c>
      <c r="X498" t="s">
        <v>60</v>
      </c>
      <c r="Y498">
        <v>0.89597810065276895</v>
      </c>
    </row>
    <row r="499" spans="1:25">
      <c r="A499">
        <v>494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4240</v>
      </c>
      <c r="R499">
        <v>0</v>
      </c>
      <c r="S499">
        <v>0</v>
      </c>
      <c r="T499">
        <v>0</v>
      </c>
      <c r="U499">
        <v>0</v>
      </c>
      <c r="V499">
        <v>429</v>
      </c>
      <c r="W499">
        <v>4734</v>
      </c>
      <c r="X499" t="s">
        <v>61</v>
      </c>
      <c r="Y499">
        <v>0.89564850021123787</v>
      </c>
    </row>
    <row r="500" spans="1:25">
      <c r="A500">
        <v>495</v>
      </c>
      <c r="B500">
        <v>0</v>
      </c>
      <c r="C500">
        <v>0</v>
      </c>
      <c r="D500">
        <v>0</v>
      </c>
      <c r="E500">
        <v>0</v>
      </c>
      <c r="F500">
        <v>4231</v>
      </c>
      <c r="G500">
        <v>0</v>
      </c>
      <c r="H500">
        <v>0</v>
      </c>
      <c r="I500">
        <v>0</v>
      </c>
      <c r="J500">
        <v>0</v>
      </c>
      <c r="K500">
        <v>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433</v>
      </c>
      <c r="W500">
        <v>4729</v>
      </c>
      <c r="X500" t="s">
        <v>72</v>
      </c>
      <c r="Y500">
        <v>0.89469232395855358</v>
      </c>
    </row>
    <row r="501" spans="1:25">
      <c r="A501">
        <v>496</v>
      </c>
      <c r="B501">
        <v>0</v>
      </c>
      <c r="C501">
        <v>0</v>
      </c>
      <c r="D501">
        <v>0</v>
      </c>
      <c r="E501">
        <v>0</v>
      </c>
      <c r="F501">
        <v>4247</v>
      </c>
      <c r="G501">
        <v>0</v>
      </c>
      <c r="H501">
        <v>0</v>
      </c>
      <c r="I501">
        <v>0</v>
      </c>
      <c r="J501">
        <v>0</v>
      </c>
      <c r="K501">
        <v>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433</v>
      </c>
      <c r="W501">
        <v>4747</v>
      </c>
      <c r="X501" t="s">
        <v>72</v>
      </c>
      <c r="Y501">
        <v>0.89467031809563935</v>
      </c>
    </row>
    <row r="502" spans="1:25">
      <c r="A502">
        <v>497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4244</v>
      </c>
      <c r="V502">
        <v>436</v>
      </c>
      <c r="W502">
        <v>4741</v>
      </c>
      <c r="X502" t="s">
        <v>57</v>
      </c>
      <c r="Y502">
        <v>0.89516979540181396</v>
      </c>
    </row>
    <row r="503" spans="1:25">
      <c r="A503">
        <v>498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4243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436</v>
      </c>
      <c r="W503">
        <v>4742</v>
      </c>
      <c r="X503" t="s">
        <v>62</v>
      </c>
      <c r="Y503">
        <v>0.89477013918177983</v>
      </c>
    </row>
    <row r="504" spans="1:25">
      <c r="A504">
        <v>499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5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4242</v>
      </c>
      <c r="V504">
        <v>436</v>
      </c>
      <c r="W504">
        <v>4747</v>
      </c>
      <c r="X504" t="s">
        <v>57</v>
      </c>
      <c r="Y504">
        <v>0.8936170212765957</v>
      </c>
    </row>
    <row r="505" spans="1:25">
      <c r="A505">
        <v>500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4238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437</v>
      </c>
      <c r="W505">
        <v>4738</v>
      </c>
      <c r="X505" t="s">
        <v>71</v>
      </c>
      <c r="Y505">
        <v>0.89447024060785141</v>
      </c>
    </row>
    <row r="506" spans="1:25">
      <c r="A506">
        <v>501</v>
      </c>
      <c r="B506">
        <v>0</v>
      </c>
      <c r="C506">
        <v>0</v>
      </c>
      <c r="D506">
        <v>0</v>
      </c>
      <c r="E506">
        <v>0</v>
      </c>
      <c r="F506">
        <v>4215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438</v>
      </c>
      <c r="W506">
        <v>4718</v>
      </c>
      <c r="X506" t="s">
        <v>72</v>
      </c>
      <c r="Y506">
        <v>0.89338702840186524</v>
      </c>
    </row>
    <row r="507" spans="1:25">
      <c r="A507">
        <v>502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4230</v>
      </c>
      <c r="T507">
        <v>0</v>
      </c>
      <c r="U507">
        <v>0</v>
      </c>
      <c r="V507">
        <v>439</v>
      </c>
      <c r="W507">
        <v>4734</v>
      </c>
      <c r="X507" t="s">
        <v>59</v>
      </c>
      <c r="Y507">
        <v>0.89353612167300378</v>
      </c>
    </row>
    <row r="508" spans="1:25">
      <c r="A508">
        <v>503</v>
      </c>
      <c r="B508">
        <v>4237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</v>
      </c>
      <c r="O508">
        <v>0</v>
      </c>
      <c r="P508">
        <v>0</v>
      </c>
      <c r="Q508">
        <v>0</v>
      </c>
      <c r="R508">
        <v>2</v>
      </c>
      <c r="S508">
        <v>0</v>
      </c>
      <c r="T508">
        <v>0</v>
      </c>
      <c r="U508">
        <v>0</v>
      </c>
      <c r="V508">
        <v>439</v>
      </c>
      <c r="W508">
        <v>4745</v>
      </c>
      <c r="X508" t="s">
        <v>76</v>
      </c>
      <c r="Y508">
        <v>0.89293993677555317</v>
      </c>
    </row>
    <row r="509" spans="1:25">
      <c r="A509">
        <v>504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4236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440</v>
      </c>
      <c r="W509">
        <v>4742</v>
      </c>
      <c r="X509" t="s">
        <v>65</v>
      </c>
      <c r="Y509">
        <v>0.89329396878954026</v>
      </c>
    </row>
    <row r="510" spans="1:25">
      <c r="A510">
        <v>505</v>
      </c>
      <c r="B510">
        <v>0</v>
      </c>
      <c r="C510">
        <v>1</v>
      </c>
      <c r="D510">
        <v>0</v>
      </c>
      <c r="E510">
        <v>0</v>
      </c>
      <c r="F510">
        <v>4241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440</v>
      </c>
      <c r="W510">
        <v>4747</v>
      </c>
      <c r="X510" t="s">
        <v>72</v>
      </c>
      <c r="Y510">
        <v>0.89340636191278699</v>
      </c>
    </row>
    <row r="511" spans="1:25">
      <c r="A511">
        <v>506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4240</v>
      </c>
      <c r="R511">
        <v>1</v>
      </c>
      <c r="S511">
        <v>0</v>
      </c>
      <c r="T511">
        <v>0</v>
      </c>
      <c r="U511">
        <v>0</v>
      </c>
      <c r="V511">
        <v>440</v>
      </c>
      <c r="W511">
        <v>4748</v>
      </c>
      <c r="X511" t="s">
        <v>61</v>
      </c>
      <c r="Y511">
        <v>0.89300758213984832</v>
      </c>
    </row>
    <row r="512" spans="1:25">
      <c r="A512">
        <v>507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4240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440</v>
      </c>
      <c r="W512">
        <v>4749</v>
      </c>
      <c r="X512" t="s">
        <v>66</v>
      </c>
      <c r="Y512">
        <v>0.8928195409559907</v>
      </c>
    </row>
    <row r="513" spans="1:27">
      <c r="A513">
        <v>508</v>
      </c>
      <c r="B513">
        <v>0</v>
      </c>
      <c r="C513">
        <v>0</v>
      </c>
      <c r="D513">
        <v>3</v>
      </c>
      <c r="E513">
        <v>4219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440</v>
      </c>
      <c r="W513">
        <v>4732</v>
      </c>
      <c r="X513" t="s">
        <v>73</v>
      </c>
      <c r="Y513">
        <v>0.89158918005071852</v>
      </c>
    </row>
    <row r="514" spans="1:27">
      <c r="A514">
        <v>509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4229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440</v>
      </c>
      <c r="W514">
        <v>4738</v>
      </c>
      <c r="X514" t="s">
        <v>67</v>
      </c>
      <c r="Y514">
        <v>0.89257070493879276</v>
      </c>
    </row>
    <row r="515" spans="1:27">
      <c r="A515">
        <v>510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4236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440</v>
      </c>
      <c r="W515">
        <v>4747</v>
      </c>
      <c r="X515" t="s">
        <v>64</v>
      </c>
      <c r="Y515">
        <v>0.89235306509374346</v>
      </c>
    </row>
    <row r="516" spans="1:27">
      <c r="A516">
        <v>511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4238</v>
      </c>
      <c r="R516">
        <v>0</v>
      </c>
      <c r="S516">
        <v>0</v>
      </c>
      <c r="T516">
        <v>0</v>
      </c>
      <c r="U516">
        <v>0</v>
      </c>
      <c r="V516">
        <v>440</v>
      </c>
      <c r="W516">
        <v>4751</v>
      </c>
      <c r="X516" t="s">
        <v>61</v>
      </c>
      <c r="Y516">
        <v>0.89202273205640914</v>
      </c>
    </row>
    <row r="517" spans="1:27">
      <c r="A517">
        <v>512</v>
      </c>
      <c r="B517">
        <v>0</v>
      </c>
      <c r="C517">
        <v>0</v>
      </c>
      <c r="D517">
        <v>0</v>
      </c>
      <c r="E517">
        <v>0</v>
      </c>
      <c r="F517">
        <v>4245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440</v>
      </c>
      <c r="W517">
        <v>4757</v>
      </c>
      <c r="X517" t="s">
        <v>72</v>
      </c>
      <c r="Y517">
        <v>0.89236914021442082</v>
      </c>
    </row>
    <row r="518" spans="1:27">
      <c r="A518">
        <v>513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4238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440</v>
      </c>
      <c r="W518">
        <v>4753</v>
      </c>
      <c r="X518" t="s">
        <v>71</v>
      </c>
      <c r="Y518">
        <v>0.89164738060172521</v>
      </c>
    </row>
    <row r="519" spans="1:27">
      <c r="A519">
        <v>514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4237</v>
      </c>
      <c r="T519">
        <v>0</v>
      </c>
      <c r="U519">
        <v>0</v>
      </c>
      <c r="V519">
        <v>441</v>
      </c>
      <c r="W519">
        <v>4751</v>
      </c>
      <c r="X519" t="s">
        <v>59</v>
      </c>
      <c r="Y519">
        <v>0.89181225005262055</v>
      </c>
    </row>
    <row r="520" spans="1:27">
      <c r="A520">
        <v>515</v>
      </c>
      <c r="B520">
        <v>0</v>
      </c>
      <c r="C520">
        <v>2</v>
      </c>
      <c r="D520">
        <v>0</v>
      </c>
      <c r="E520">
        <v>0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25</v>
      </c>
      <c r="O520">
        <v>0</v>
      </c>
      <c r="P520">
        <v>0</v>
      </c>
      <c r="Q520">
        <v>4203</v>
      </c>
      <c r="R520">
        <v>0</v>
      </c>
      <c r="S520">
        <v>0</v>
      </c>
      <c r="T520">
        <v>0</v>
      </c>
      <c r="U520">
        <v>0</v>
      </c>
      <c r="V520">
        <v>441</v>
      </c>
      <c r="W520">
        <v>4747</v>
      </c>
      <c r="X520" t="s">
        <v>61</v>
      </c>
      <c r="Y520">
        <v>0.88540130608805556</v>
      </c>
    </row>
    <row r="521" spans="1:27">
      <c r="A521">
        <v>516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4241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441</v>
      </c>
      <c r="W521">
        <v>4757</v>
      </c>
      <c r="X521" t="s">
        <v>71</v>
      </c>
      <c r="Y521">
        <v>0.89152827412234603</v>
      </c>
    </row>
    <row r="522" spans="1:27">
      <c r="A522">
        <v>517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4087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2</v>
      </c>
      <c r="S522">
        <v>128</v>
      </c>
      <c r="T522">
        <v>0</v>
      </c>
      <c r="U522">
        <v>0</v>
      </c>
      <c r="V522">
        <v>441</v>
      </c>
      <c r="W522">
        <v>4735</v>
      </c>
      <c r="X522" t="s">
        <v>69</v>
      </c>
      <c r="Y522">
        <v>0.86314677930306227</v>
      </c>
      <c r="AA522">
        <v>2.703273495248152E-2</v>
      </c>
    </row>
    <row r="523" spans="1:27">
      <c r="A523">
        <v>518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4240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441</v>
      </c>
      <c r="W523">
        <v>4760</v>
      </c>
      <c r="X523" t="s">
        <v>65</v>
      </c>
      <c r="Y523">
        <v>0.89075630252100846</v>
      </c>
    </row>
    <row r="524" spans="1:27">
      <c r="A524">
        <v>519</v>
      </c>
      <c r="B524">
        <v>0</v>
      </c>
      <c r="C524">
        <v>0</v>
      </c>
      <c r="D524">
        <v>0</v>
      </c>
      <c r="E524">
        <v>4238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441</v>
      </c>
      <c r="W524">
        <v>4757</v>
      </c>
      <c r="X524" t="s">
        <v>73</v>
      </c>
      <c r="Y524">
        <v>0.89089762455328991</v>
      </c>
    </row>
    <row r="525" spans="1:27">
      <c r="A525">
        <v>520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4241</v>
      </c>
      <c r="R525">
        <v>0</v>
      </c>
      <c r="S525">
        <v>0</v>
      </c>
      <c r="T525">
        <v>0</v>
      </c>
      <c r="U525">
        <v>0</v>
      </c>
      <c r="V525">
        <v>441</v>
      </c>
      <c r="W525">
        <v>4762</v>
      </c>
      <c r="X525" t="s">
        <v>61</v>
      </c>
      <c r="Y525">
        <v>0.89059218815623686</v>
      </c>
    </row>
    <row r="526" spans="1:27">
      <c r="A526">
        <v>521</v>
      </c>
      <c r="B526">
        <v>4236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3</v>
      </c>
      <c r="R526">
        <v>0</v>
      </c>
      <c r="S526">
        <v>1</v>
      </c>
      <c r="T526">
        <v>0</v>
      </c>
      <c r="U526">
        <v>0</v>
      </c>
      <c r="V526">
        <v>441</v>
      </c>
      <c r="W526">
        <v>4762</v>
      </c>
      <c r="X526" t="s">
        <v>76</v>
      </c>
      <c r="Y526">
        <v>0.88954220915581683</v>
      </c>
    </row>
    <row r="527" spans="1:27">
      <c r="A527">
        <v>522</v>
      </c>
      <c r="B527">
        <v>0</v>
      </c>
      <c r="C527">
        <v>0</v>
      </c>
      <c r="D527">
        <v>4242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441</v>
      </c>
      <c r="W527">
        <v>4765</v>
      </c>
      <c r="X527" t="s">
        <v>74</v>
      </c>
      <c r="Y527">
        <v>0.89024134312696745</v>
      </c>
    </row>
    <row r="528" spans="1:27">
      <c r="A528">
        <v>523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3</v>
      </c>
      <c r="J528">
        <v>0</v>
      </c>
      <c r="K528">
        <v>0</v>
      </c>
      <c r="L528">
        <v>4242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441</v>
      </c>
      <c r="W528">
        <v>4768</v>
      </c>
      <c r="X528" t="s">
        <v>66</v>
      </c>
      <c r="Y528">
        <v>0.88968120805369133</v>
      </c>
    </row>
    <row r="529" spans="1:25">
      <c r="A529">
        <v>524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4240</v>
      </c>
      <c r="R529">
        <v>2</v>
      </c>
      <c r="S529">
        <v>0</v>
      </c>
      <c r="T529">
        <v>0</v>
      </c>
      <c r="U529">
        <v>0</v>
      </c>
      <c r="V529">
        <v>441</v>
      </c>
      <c r="W529">
        <v>4767</v>
      </c>
      <c r="X529" t="s">
        <v>61</v>
      </c>
      <c r="Y529">
        <v>0.88944829032934758</v>
      </c>
    </row>
    <row r="530" spans="1:25">
      <c r="A530">
        <v>525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3264</v>
      </c>
      <c r="J530">
        <v>0</v>
      </c>
      <c r="K530">
        <v>0</v>
      </c>
      <c r="L530">
        <v>5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4</v>
      </c>
      <c r="S530">
        <v>957</v>
      </c>
      <c r="T530">
        <v>0</v>
      </c>
      <c r="U530">
        <v>0</v>
      </c>
      <c r="V530">
        <v>441</v>
      </c>
      <c r="W530">
        <v>4755</v>
      </c>
      <c r="X530" t="s">
        <v>69</v>
      </c>
      <c r="Y530">
        <v>0.68643533123028388</v>
      </c>
    </row>
    <row r="531" spans="1:25">
      <c r="A531">
        <v>526</v>
      </c>
      <c r="B531">
        <v>0</v>
      </c>
      <c r="C531">
        <v>0</v>
      </c>
      <c r="D531">
        <v>0</v>
      </c>
      <c r="E531">
        <v>2</v>
      </c>
      <c r="F531">
        <v>0</v>
      </c>
      <c r="G531">
        <v>4239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441</v>
      </c>
      <c r="W531">
        <v>4767</v>
      </c>
      <c r="X531" t="s">
        <v>71</v>
      </c>
      <c r="Y531">
        <v>0.88923851478917559</v>
      </c>
    </row>
    <row r="532" spans="1:25">
      <c r="A532">
        <v>527</v>
      </c>
      <c r="B532">
        <v>5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107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4130</v>
      </c>
      <c r="T532">
        <v>0</v>
      </c>
      <c r="U532">
        <v>0</v>
      </c>
      <c r="V532">
        <v>441</v>
      </c>
      <c r="W532">
        <v>4770</v>
      </c>
      <c r="X532" t="s">
        <v>59</v>
      </c>
      <c r="Y532">
        <v>0.86582809224318658</v>
      </c>
    </row>
    <row r="533" spans="1:25">
      <c r="A533">
        <v>528</v>
      </c>
      <c r="B533">
        <v>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4230</v>
      </c>
      <c r="S533">
        <v>0</v>
      </c>
      <c r="T533">
        <v>0</v>
      </c>
      <c r="U533">
        <v>0</v>
      </c>
      <c r="V533">
        <v>441</v>
      </c>
      <c r="W533">
        <v>4769</v>
      </c>
      <c r="X533" t="s">
        <v>60</v>
      </c>
      <c r="Y533">
        <v>0.88697840218075064</v>
      </c>
    </row>
    <row r="534" spans="1:25">
      <c r="A534">
        <v>529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4238</v>
      </c>
      <c r="T534">
        <v>0</v>
      </c>
      <c r="U534">
        <v>0</v>
      </c>
      <c r="V534">
        <v>441</v>
      </c>
      <c r="W534">
        <v>4771</v>
      </c>
      <c r="X534" t="s">
        <v>59</v>
      </c>
      <c r="Y534">
        <v>0.88828337874659402</v>
      </c>
    </row>
    <row r="535" spans="1:25">
      <c r="A535">
        <v>530</v>
      </c>
      <c r="B535">
        <v>0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4239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4</v>
      </c>
      <c r="T535">
        <v>0</v>
      </c>
      <c r="U535">
        <v>0</v>
      </c>
      <c r="V535">
        <v>441</v>
      </c>
      <c r="W535">
        <v>4775</v>
      </c>
      <c r="X535" t="s">
        <v>69</v>
      </c>
      <c r="Y535">
        <v>0.88774869109947641</v>
      </c>
    </row>
    <row r="536" spans="1:25">
      <c r="A536">
        <v>531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4199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30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441</v>
      </c>
      <c r="W536">
        <v>4761</v>
      </c>
      <c r="X536" t="s">
        <v>68</v>
      </c>
      <c r="Y536">
        <v>0.88195757193866831</v>
      </c>
    </row>
    <row r="537" spans="1:25">
      <c r="A537">
        <v>532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4241</v>
      </c>
      <c r="N537">
        <v>0</v>
      </c>
      <c r="O537">
        <v>0</v>
      </c>
      <c r="P537">
        <v>0</v>
      </c>
      <c r="Q537">
        <v>1</v>
      </c>
      <c r="R537">
        <v>3</v>
      </c>
      <c r="S537">
        <v>0</v>
      </c>
      <c r="T537">
        <v>0</v>
      </c>
      <c r="U537">
        <v>0</v>
      </c>
      <c r="V537">
        <v>441</v>
      </c>
      <c r="W537">
        <v>4777</v>
      </c>
      <c r="X537" t="s">
        <v>65</v>
      </c>
      <c r="Y537">
        <v>0.88779568767008588</v>
      </c>
    </row>
    <row r="538" spans="1:25">
      <c r="A538">
        <v>533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4241</v>
      </c>
      <c r="N538">
        <v>0</v>
      </c>
      <c r="O538">
        <v>0</v>
      </c>
      <c r="P538">
        <v>0</v>
      </c>
      <c r="Q538">
        <v>2</v>
      </c>
      <c r="R538">
        <v>0</v>
      </c>
      <c r="S538">
        <v>0</v>
      </c>
      <c r="T538">
        <v>0</v>
      </c>
      <c r="U538">
        <v>0</v>
      </c>
      <c r="V538">
        <v>441</v>
      </c>
      <c r="W538">
        <v>4777</v>
      </c>
      <c r="X538" t="s">
        <v>65</v>
      </c>
      <c r="Y538">
        <v>0.88779568767008588</v>
      </c>
    </row>
    <row r="539" spans="1:25">
      <c r="A539">
        <v>534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4244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</v>
      </c>
      <c r="T539">
        <v>0</v>
      </c>
      <c r="U539">
        <v>0</v>
      </c>
      <c r="V539">
        <v>441</v>
      </c>
      <c r="W539">
        <v>4780</v>
      </c>
      <c r="X539" t="s">
        <v>66</v>
      </c>
      <c r="Y539">
        <v>0.88786610878661087</v>
      </c>
    </row>
    <row r="540" spans="1:25">
      <c r="A540">
        <v>535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4097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</v>
      </c>
      <c r="S540">
        <v>134</v>
      </c>
      <c r="T540">
        <v>0</v>
      </c>
      <c r="U540">
        <v>0</v>
      </c>
      <c r="V540">
        <v>441</v>
      </c>
      <c r="W540">
        <v>4768</v>
      </c>
      <c r="X540" t="s">
        <v>69</v>
      </c>
      <c r="Y540">
        <v>0.85927013422818788</v>
      </c>
    </row>
    <row r="541" spans="1:25">
      <c r="A541">
        <v>536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4245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441</v>
      </c>
      <c r="W541">
        <v>4781</v>
      </c>
      <c r="X541" t="s">
        <v>65</v>
      </c>
      <c r="Y541">
        <v>0.88788956285295961</v>
      </c>
    </row>
    <row r="542" spans="1:25">
      <c r="A542">
        <v>537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4216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441</v>
      </c>
      <c r="W542">
        <v>4755</v>
      </c>
      <c r="X542" t="s">
        <v>65</v>
      </c>
      <c r="Y542">
        <v>0.88664563617245007</v>
      </c>
    </row>
    <row r="543" spans="1:25">
      <c r="A543">
        <v>538</v>
      </c>
      <c r="B543">
        <v>0</v>
      </c>
      <c r="C543">
        <v>0</v>
      </c>
      <c r="D543">
        <v>4225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453</v>
      </c>
      <c r="W543">
        <v>4764</v>
      </c>
      <c r="X543" t="s">
        <v>74</v>
      </c>
      <c r="Y543">
        <v>0.88685978169605373</v>
      </c>
    </row>
    <row r="544" spans="1:25">
      <c r="A544">
        <v>539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4232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453</v>
      </c>
      <c r="W544">
        <v>4772</v>
      </c>
      <c r="X544" t="s">
        <v>67</v>
      </c>
      <c r="Y544">
        <v>0.88683989941324393</v>
      </c>
    </row>
    <row r="545" spans="1:25">
      <c r="A545">
        <v>540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4230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453</v>
      </c>
      <c r="W545">
        <v>4771</v>
      </c>
      <c r="X545" t="s">
        <v>71</v>
      </c>
      <c r="Y545">
        <v>0.88660658142946969</v>
      </c>
    </row>
    <row r="546" spans="1:25">
      <c r="A546">
        <v>541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4219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453</v>
      </c>
      <c r="W546">
        <v>4760</v>
      </c>
      <c r="X546" t="s">
        <v>64</v>
      </c>
      <c r="Y546">
        <v>0.88634453781512601</v>
      </c>
    </row>
    <row r="547" spans="1:25">
      <c r="A547">
        <v>542</v>
      </c>
      <c r="B547">
        <v>4229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453</v>
      </c>
      <c r="W547">
        <v>4772</v>
      </c>
      <c r="X547" t="s">
        <v>76</v>
      </c>
      <c r="Y547">
        <v>0.88621123218776199</v>
      </c>
    </row>
    <row r="548" spans="1:25">
      <c r="A548">
        <v>543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4228</v>
      </c>
      <c r="S548">
        <v>0</v>
      </c>
      <c r="T548">
        <v>0</v>
      </c>
      <c r="U548">
        <v>0</v>
      </c>
      <c r="V548">
        <v>457</v>
      </c>
      <c r="W548">
        <v>4772</v>
      </c>
      <c r="X548" t="s">
        <v>60</v>
      </c>
      <c r="Y548">
        <v>0.88600167644593464</v>
      </c>
    </row>
    <row r="549" spans="1:25">
      <c r="A549">
        <v>544</v>
      </c>
      <c r="B549">
        <v>4204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5</v>
      </c>
      <c r="R549">
        <v>0</v>
      </c>
      <c r="S549">
        <v>0</v>
      </c>
      <c r="T549">
        <v>0</v>
      </c>
      <c r="U549">
        <v>0</v>
      </c>
      <c r="V549">
        <v>457</v>
      </c>
      <c r="W549">
        <v>4753</v>
      </c>
      <c r="X549" t="s">
        <v>76</v>
      </c>
      <c r="Y549">
        <v>0.88449400378708187</v>
      </c>
    </row>
    <row r="550" spans="1:25">
      <c r="A550">
        <v>545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4212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457</v>
      </c>
      <c r="W550">
        <v>4758</v>
      </c>
      <c r="X550" t="s">
        <v>63</v>
      </c>
      <c r="Y550">
        <v>0.88524590163934425</v>
      </c>
    </row>
    <row r="551" spans="1:25">
      <c r="A551">
        <v>546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4229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457</v>
      </c>
      <c r="W551">
        <v>4775</v>
      </c>
      <c r="X551" t="s">
        <v>66</v>
      </c>
      <c r="Y551">
        <v>0.88565445026178014</v>
      </c>
    </row>
    <row r="552" spans="1:25">
      <c r="A552">
        <v>547</v>
      </c>
      <c r="B552">
        <v>4218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3</v>
      </c>
      <c r="O552">
        <v>0</v>
      </c>
      <c r="P552">
        <v>0</v>
      </c>
      <c r="Q552">
        <v>0</v>
      </c>
      <c r="R552">
        <v>0</v>
      </c>
      <c r="S552">
        <v>3</v>
      </c>
      <c r="T552">
        <v>0</v>
      </c>
      <c r="U552">
        <v>0</v>
      </c>
      <c r="V552">
        <v>457</v>
      </c>
      <c r="W552">
        <v>4772</v>
      </c>
      <c r="X552" t="s">
        <v>76</v>
      </c>
      <c r="Y552">
        <v>0.88390611902766136</v>
      </c>
    </row>
    <row r="553" spans="1:25">
      <c r="A553">
        <v>548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4</v>
      </c>
      <c r="J553">
        <v>0</v>
      </c>
      <c r="K553">
        <v>4222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457</v>
      </c>
      <c r="W553">
        <v>4775</v>
      </c>
      <c r="X553" t="s">
        <v>67</v>
      </c>
      <c r="Y553">
        <v>0.88418848167539266</v>
      </c>
    </row>
    <row r="554" spans="1:25">
      <c r="A554">
        <v>549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2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4224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457</v>
      </c>
      <c r="W554">
        <v>4777</v>
      </c>
      <c r="X554" t="s">
        <v>63</v>
      </c>
      <c r="Y554">
        <v>0.88423696880887581</v>
      </c>
    </row>
    <row r="555" spans="1:25">
      <c r="A555">
        <v>550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2</v>
      </c>
      <c r="J555">
        <v>0</v>
      </c>
      <c r="K555">
        <v>4226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457</v>
      </c>
      <c r="W555">
        <v>4778</v>
      </c>
      <c r="X555" t="s">
        <v>67</v>
      </c>
      <c r="Y555">
        <v>0.88447048974466302</v>
      </c>
    </row>
    <row r="556" spans="1:25">
      <c r="A556">
        <v>551</v>
      </c>
      <c r="B556">
        <v>0</v>
      </c>
      <c r="C556">
        <v>0</v>
      </c>
      <c r="D556">
        <v>0</v>
      </c>
      <c r="E556">
        <v>0</v>
      </c>
      <c r="F556">
        <v>4221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2</v>
      </c>
      <c r="T556">
        <v>0</v>
      </c>
      <c r="U556">
        <v>0</v>
      </c>
      <c r="V556">
        <v>457</v>
      </c>
      <c r="W556">
        <v>4774</v>
      </c>
      <c r="X556" t="s">
        <v>72</v>
      </c>
      <c r="Y556">
        <v>0.88416422287390029</v>
      </c>
    </row>
    <row r="557" spans="1:25">
      <c r="A557">
        <v>552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4214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13</v>
      </c>
      <c r="T557">
        <v>0</v>
      </c>
      <c r="U557">
        <v>0</v>
      </c>
      <c r="V557">
        <v>457</v>
      </c>
      <c r="W557">
        <v>4781</v>
      </c>
      <c r="X557" t="s">
        <v>69</v>
      </c>
      <c r="Y557">
        <v>0.88140556368960465</v>
      </c>
    </row>
    <row r="558" spans="1:25">
      <c r="A558">
        <v>553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4207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457</v>
      </c>
      <c r="W558">
        <v>4766</v>
      </c>
      <c r="X558" t="s">
        <v>68</v>
      </c>
      <c r="Y558">
        <v>0.88271086865295845</v>
      </c>
    </row>
    <row r="559" spans="1:25">
      <c r="A559">
        <v>554</v>
      </c>
      <c r="B559">
        <v>0</v>
      </c>
      <c r="C559">
        <v>0</v>
      </c>
      <c r="D559">
        <v>4228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457</v>
      </c>
      <c r="W559">
        <v>4783</v>
      </c>
      <c r="X559" t="s">
        <v>74</v>
      </c>
      <c r="Y559">
        <v>0.88396403930587497</v>
      </c>
    </row>
    <row r="560" spans="1:25">
      <c r="A560">
        <v>555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4227</v>
      </c>
      <c r="V560">
        <v>457</v>
      </c>
      <c r="W560">
        <v>4783</v>
      </c>
      <c r="X560" t="s">
        <v>57</v>
      </c>
      <c r="Y560">
        <v>0.88375496550282251</v>
      </c>
    </row>
    <row r="561" spans="1:25">
      <c r="A561">
        <v>556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4218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457</v>
      </c>
      <c r="W561">
        <v>4777</v>
      </c>
      <c r="X561" t="s">
        <v>62</v>
      </c>
      <c r="Y561">
        <v>0.88298095038727231</v>
      </c>
    </row>
    <row r="562" spans="1:25">
      <c r="A562">
        <v>557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4227</v>
      </c>
      <c r="V562">
        <v>457</v>
      </c>
      <c r="W562">
        <v>4784</v>
      </c>
      <c r="X562" t="s">
        <v>57</v>
      </c>
      <c r="Y562">
        <v>0.88357023411371238</v>
      </c>
    </row>
    <row r="563" spans="1:25">
      <c r="A563">
        <v>558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4219</v>
      </c>
      <c r="S563">
        <v>0</v>
      </c>
      <c r="T563">
        <v>0</v>
      </c>
      <c r="U563">
        <v>0</v>
      </c>
      <c r="V563">
        <v>459</v>
      </c>
      <c r="W563">
        <v>4780</v>
      </c>
      <c r="X563" t="s">
        <v>60</v>
      </c>
      <c r="Y563">
        <v>0.88263598326359838</v>
      </c>
    </row>
    <row r="564" spans="1:25">
      <c r="A564">
        <v>559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4217</v>
      </c>
      <c r="V564">
        <v>459</v>
      </c>
      <c r="W564">
        <v>4776</v>
      </c>
      <c r="X564" t="s">
        <v>57</v>
      </c>
      <c r="Y564">
        <v>0.88295644891122282</v>
      </c>
    </row>
    <row r="565" spans="1:25">
      <c r="A565">
        <v>560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4223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459</v>
      </c>
      <c r="W565">
        <v>4784</v>
      </c>
      <c r="X565" t="s">
        <v>62</v>
      </c>
      <c r="Y565">
        <v>0.88273411371237454</v>
      </c>
    </row>
    <row r="566" spans="1:25">
      <c r="A566">
        <v>561</v>
      </c>
      <c r="B566">
        <v>0</v>
      </c>
      <c r="C566">
        <v>4223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459</v>
      </c>
      <c r="W566">
        <v>4786</v>
      </c>
      <c r="X566" t="s">
        <v>75</v>
      </c>
      <c r="Y566">
        <v>0.88236523192645211</v>
      </c>
    </row>
    <row r="567" spans="1:25">
      <c r="A567">
        <v>562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4221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459</v>
      </c>
      <c r="W567">
        <v>4784</v>
      </c>
      <c r="X567" t="s">
        <v>70</v>
      </c>
      <c r="Y567">
        <v>0.88231605351170572</v>
      </c>
    </row>
    <row r="568" spans="1:25">
      <c r="A568">
        <v>563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11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4208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459</v>
      </c>
      <c r="W568">
        <v>4783</v>
      </c>
      <c r="X568" t="s">
        <v>62</v>
      </c>
      <c r="Y568">
        <v>0.8797825632448254</v>
      </c>
    </row>
    <row r="569" spans="1:25">
      <c r="A569">
        <v>564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4221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3</v>
      </c>
      <c r="R569">
        <v>0</v>
      </c>
      <c r="S569">
        <v>0</v>
      </c>
      <c r="T569">
        <v>0</v>
      </c>
      <c r="U569">
        <v>0</v>
      </c>
      <c r="V569">
        <v>459</v>
      </c>
      <c r="W569">
        <v>4789</v>
      </c>
      <c r="X569" t="s">
        <v>71</v>
      </c>
      <c r="Y569">
        <v>0.88139486322823135</v>
      </c>
    </row>
    <row r="570" spans="1:25">
      <c r="A570">
        <v>565</v>
      </c>
      <c r="B570">
        <v>0</v>
      </c>
      <c r="C570">
        <v>0</v>
      </c>
      <c r="D570">
        <v>4220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459</v>
      </c>
      <c r="W570">
        <v>4785</v>
      </c>
      <c r="X570" t="s">
        <v>74</v>
      </c>
      <c r="Y570">
        <v>0.88192267502612331</v>
      </c>
    </row>
    <row r="571" spans="1:25">
      <c r="A571">
        <v>566</v>
      </c>
      <c r="B571">
        <v>25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25</v>
      </c>
      <c r="M571">
        <v>0</v>
      </c>
      <c r="N571">
        <v>0</v>
      </c>
      <c r="O571">
        <v>0</v>
      </c>
      <c r="P571">
        <v>0</v>
      </c>
      <c r="Q571">
        <v>2</v>
      </c>
      <c r="R571">
        <v>4157</v>
      </c>
      <c r="S571">
        <v>0</v>
      </c>
      <c r="T571">
        <v>0</v>
      </c>
      <c r="U571">
        <v>0</v>
      </c>
      <c r="V571">
        <v>459</v>
      </c>
      <c r="W571">
        <v>4776</v>
      </c>
      <c r="X571" t="s">
        <v>60</v>
      </c>
      <c r="Y571">
        <v>0.87039363484087107</v>
      </c>
    </row>
    <row r="572" spans="1:25">
      <c r="A572">
        <v>567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27</v>
      </c>
      <c r="I572">
        <v>0</v>
      </c>
      <c r="J572">
        <v>25</v>
      </c>
      <c r="K572">
        <v>0</v>
      </c>
      <c r="L572">
        <v>0</v>
      </c>
      <c r="M572">
        <v>0</v>
      </c>
      <c r="N572">
        <v>0</v>
      </c>
      <c r="O572">
        <v>4144</v>
      </c>
      <c r="P572">
        <v>27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459</v>
      </c>
      <c r="W572">
        <v>4790</v>
      </c>
      <c r="X572" t="s">
        <v>63</v>
      </c>
      <c r="Y572">
        <v>0.86513569937369517</v>
      </c>
    </row>
    <row r="573" spans="1:25">
      <c r="A573">
        <v>568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4154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4</v>
      </c>
      <c r="S573">
        <v>55</v>
      </c>
      <c r="T573">
        <v>0</v>
      </c>
      <c r="U573">
        <v>0</v>
      </c>
      <c r="V573">
        <v>459</v>
      </c>
      <c r="W573">
        <v>4783</v>
      </c>
      <c r="X573" t="s">
        <v>69</v>
      </c>
      <c r="Y573">
        <v>0.86849257787999168</v>
      </c>
    </row>
    <row r="574" spans="1:25">
      <c r="A574">
        <v>569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4</v>
      </c>
      <c r="I574">
        <v>0</v>
      </c>
      <c r="J574">
        <v>5</v>
      </c>
      <c r="K574">
        <v>2</v>
      </c>
      <c r="L574">
        <v>0</v>
      </c>
      <c r="M574">
        <v>0</v>
      </c>
      <c r="N574">
        <v>1</v>
      </c>
      <c r="O574">
        <v>4207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459</v>
      </c>
      <c r="W574">
        <v>4790</v>
      </c>
      <c r="X574" t="s">
        <v>63</v>
      </c>
      <c r="Y574">
        <v>0.87828810020876824</v>
      </c>
    </row>
    <row r="575" spans="1:25">
      <c r="A575">
        <v>570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4202</v>
      </c>
      <c r="S575">
        <v>0</v>
      </c>
      <c r="T575">
        <v>0</v>
      </c>
      <c r="U575">
        <v>0</v>
      </c>
      <c r="V575">
        <v>459</v>
      </c>
      <c r="W575">
        <v>4772</v>
      </c>
      <c r="X575" t="s">
        <v>60</v>
      </c>
      <c r="Y575">
        <v>0.8805532271584241</v>
      </c>
    </row>
    <row r="576" spans="1:25">
      <c r="A576">
        <v>571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29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4194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459</v>
      </c>
      <c r="W576">
        <v>4794</v>
      </c>
      <c r="X576" t="s">
        <v>62</v>
      </c>
      <c r="Y576">
        <v>0.87484355444305384</v>
      </c>
    </row>
    <row r="577" spans="1:27">
      <c r="A577">
        <v>572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4224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459</v>
      </c>
      <c r="W577">
        <v>4796</v>
      </c>
      <c r="X577" t="s">
        <v>62</v>
      </c>
      <c r="Y577">
        <v>0.88073394495412849</v>
      </c>
    </row>
    <row r="578" spans="1:27">
      <c r="A578">
        <v>573</v>
      </c>
      <c r="B578">
        <v>2534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1678</v>
      </c>
      <c r="R578">
        <v>8</v>
      </c>
      <c r="S578">
        <v>0</v>
      </c>
      <c r="T578">
        <v>0</v>
      </c>
      <c r="U578">
        <v>0</v>
      </c>
      <c r="V578">
        <v>459</v>
      </c>
      <c r="W578">
        <v>4795</v>
      </c>
      <c r="X578" t="s">
        <v>76</v>
      </c>
      <c r="Y578">
        <v>0.52846715328467153</v>
      </c>
      <c r="AA578">
        <v>0.34994786235662145</v>
      </c>
    </row>
    <row r="579" spans="1:27">
      <c r="A579">
        <v>574</v>
      </c>
      <c r="B579">
        <v>0</v>
      </c>
      <c r="C579">
        <v>0</v>
      </c>
      <c r="D579">
        <v>0</v>
      </c>
      <c r="E579">
        <v>0</v>
      </c>
      <c r="F579">
        <v>4215</v>
      </c>
      <c r="G579">
        <v>0</v>
      </c>
      <c r="H579">
        <v>0</v>
      </c>
      <c r="I579">
        <v>0</v>
      </c>
      <c r="J579">
        <v>0</v>
      </c>
      <c r="K579">
        <v>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459</v>
      </c>
      <c r="W579">
        <v>4794</v>
      </c>
      <c r="X579" t="s">
        <v>72</v>
      </c>
      <c r="Y579">
        <v>0.8792240300375469</v>
      </c>
    </row>
    <row r="580" spans="1:27">
      <c r="A580">
        <v>575</v>
      </c>
      <c r="B580">
        <v>0</v>
      </c>
      <c r="C580">
        <v>0</v>
      </c>
      <c r="D580">
        <v>0</v>
      </c>
      <c r="E580">
        <v>4224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459</v>
      </c>
      <c r="W580">
        <v>4799</v>
      </c>
      <c r="X580" t="s">
        <v>73</v>
      </c>
      <c r="Y580">
        <v>0.88018337153573656</v>
      </c>
    </row>
    <row r="581" spans="1:27">
      <c r="A581">
        <v>576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15</v>
      </c>
      <c r="J581">
        <v>0</v>
      </c>
      <c r="K581">
        <v>4197</v>
      </c>
      <c r="L581">
        <v>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460</v>
      </c>
      <c r="W581">
        <v>4796</v>
      </c>
      <c r="X581" t="s">
        <v>67</v>
      </c>
      <c r="Y581">
        <v>0.87510425354462051</v>
      </c>
    </row>
    <row r="582" spans="1:27">
      <c r="A582">
        <v>577</v>
      </c>
      <c r="B582">
        <v>0</v>
      </c>
      <c r="C582">
        <v>0</v>
      </c>
      <c r="D582">
        <v>0</v>
      </c>
      <c r="E582">
        <v>3</v>
      </c>
      <c r="F582">
        <v>0</v>
      </c>
      <c r="G582">
        <v>0</v>
      </c>
      <c r="H582">
        <v>0</v>
      </c>
      <c r="I582">
        <v>0</v>
      </c>
      <c r="J582">
        <v>4176</v>
      </c>
      <c r="K582">
        <v>0</v>
      </c>
      <c r="L582">
        <v>0</v>
      </c>
      <c r="M582">
        <v>6</v>
      </c>
      <c r="N582">
        <v>0</v>
      </c>
      <c r="O582">
        <v>1</v>
      </c>
      <c r="P582">
        <v>23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460</v>
      </c>
      <c r="W582">
        <v>4786</v>
      </c>
      <c r="X582" t="s">
        <v>68</v>
      </c>
      <c r="Y582">
        <v>0.87254492269118267</v>
      </c>
    </row>
    <row r="583" spans="1:27">
      <c r="A583">
        <v>578</v>
      </c>
      <c r="B583">
        <v>0</v>
      </c>
      <c r="C583">
        <v>0</v>
      </c>
      <c r="D583">
        <v>0</v>
      </c>
      <c r="E583">
        <v>5</v>
      </c>
      <c r="F583">
        <v>0</v>
      </c>
      <c r="G583">
        <v>0</v>
      </c>
      <c r="H583">
        <v>0</v>
      </c>
      <c r="I583">
        <v>0</v>
      </c>
      <c r="J583">
        <v>4167</v>
      </c>
      <c r="K583">
        <v>0</v>
      </c>
      <c r="L583">
        <v>0</v>
      </c>
      <c r="M583">
        <v>0</v>
      </c>
      <c r="N583">
        <v>0</v>
      </c>
      <c r="O583">
        <v>2</v>
      </c>
      <c r="P583">
        <v>30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460</v>
      </c>
      <c r="W583">
        <v>4782</v>
      </c>
      <c r="X583" t="s">
        <v>68</v>
      </c>
      <c r="Y583">
        <v>0.8713927227101631</v>
      </c>
    </row>
    <row r="584" spans="1:27">
      <c r="A584">
        <v>579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4206</v>
      </c>
      <c r="L584">
        <v>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460</v>
      </c>
      <c r="W584">
        <v>4790</v>
      </c>
      <c r="X584" t="s">
        <v>67</v>
      </c>
      <c r="Y584">
        <v>0.87807933194154486</v>
      </c>
    </row>
    <row r="585" spans="1:27">
      <c r="A585">
        <v>580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4210</v>
      </c>
      <c r="U585">
        <v>0</v>
      </c>
      <c r="V585">
        <v>472</v>
      </c>
      <c r="W585">
        <v>4791</v>
      </c>
      <c r="X585" t="s">
        <v>58</v>
      </c>
      <c r="Y585">
        <v>0.87873095387184308</v>
      </c>
    </row>
    <row r="586" spans="1:27">
      <c r="A586">
        <v>581</v>
      </c>
      <c r="B586">
        <v>0</v>
      </c>
      <c r="C586">
        <v>0</v>
      </c>
      <c r="D586">
        <v>17</v>
      </c>
      <c r="E586">
        <v>4179</v>
      </c>
      <c r="F586">
        <v>0</v>
      </c>
      <c r="G586">
        <v>5</v>
      </c>
      <c r="H586">
        <v>0</v>
      </c>
      <c r="I586">
        <v>0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8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472</v>
      </c>
      <c r="W586">
        <v>4793</v>
      </c>
      <c r="X586" t="s">
        <v>73</v>
      </c>
      <c r="Y586">
        <v>0.87189651575213856</v>
      </c>
      <c r="AA586">
        <v>3.5468391404131026E-3</v>
      </c>
    </row>
    <row r="587" spans="1:27">
      <c r="A587">
        <v>582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4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4197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472</v>
      </c>
      <c r="W587">
        <v>4785</v>
      </c>
      <c r="X587" t="s">
        <v>63</v>
      </c>
      <c r="Y587">
        <v>0.87711598746081509</v>
      </c>
    </row>
    <row r="588" spans="1:27">
      <c r="A588">
        <v>583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4211</v>
      </c>
      <c r="S588">
        <v>0</v>
      </c>
      <c r="T588">
        <v>0</v>
      </c>
      <c r="U588">
        <v>0</v>
      </c>
      <c r="V588">
        <v>472</v>
      </c>
      <c r="W588">
        <v>4794</v>
      </c>
      <c r="X588" t="s">
        <v>60</v>
      </c>
      <c r="Y588">
        <v>0.87838965373383393</v>
      </c>
    </row>
    <row r="589" spans="1:27">
      <c r="A589">
        <v>584</v>
      </c>
      <c r="B589">
        <v>0</v>
      </c>
      <c r="C589">
        <v>4</v>
      </c>
      <c r="D589">
        <v>0</v>
      </c>
      <c r="E589">
        <v>0</v>
      </c>
      <c r="F589">
        <v>0</v>
      </c>
      <c r="G589">
        <v>0</v>
      </c>
      <c r="H589">
        <v>176</v>
      </c>
      <c r="I589">
        <v>0</v>
      </c>
      <c r="J589">
        <v>0</v>
      </c>
      <c r="K589">
        <v>8</v>
      </c>
      <c r="L589">
        <v>0</v>
      </c>
      <c r="M589">
        <v>4</v>
      </c>
      <c r="N589">
        <v>0</v>
      </c>
      <c r="O589">
        <v>0</v>
      </c>
      <c r="P589">
        <v>4004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472</v>
      </c>
      <c r="W589">
        <v>4780</v>
      </c>
      <c r="X589" t="s">
        <v>62</v>
      </c>
      <c r="Y589">
        <v>0.83765690376569035</v>
      </c>
      <c r="AA589">
        <v>0</v>
      </c>
    </row>
    <row r="590" spans="1:27">
      <c r="A590">
        <v>585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4190</v>
      </c>
      <c r="R590">
        <v>0</v>
      </c>
      <c r="S590">
        <v>0</v>
      </c>
      <c r="T590">
        <v>0</v>
      </c>
      <c r="U590">
        <v>0</v>
      </c>
      <c r="V590">
        <v>467</v>
      </c>
      <c r="W590">
        <v>4779</v>
      </c>
      <c r="X590" t="s">
        <v>61</v>
      </c>
      <c r="Y590">
        <v>0.8767524586733626</v>
      </c>
    </row>
    <row r="591" spans="1:27">
      <c r="A591">
        <v>586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4200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465</v>
      </c>
      <c r="W591">
        <v>4795</v>
      </c>
      <c r="X591" t="s">
        <v>68</v>
      </c>
      <c r="Y591">
        <v>0.87591240875912413</v>
      </c>
    </row>
    <row r="592" spans="1:27">
      <c r="A592">
        <v>587</v>
      </c>
      <c r="B592">
        <v>4090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4</v>
      </c>
      <c r="O592">
        <v>0</v>
      </c>
      <c r="P592">
        <v>0</v>
      </c>
      <c r="Q592">
        <v>9</v>
      </c>
      <c r="R592">
        <v>39</v>
      </c>
      <c r="S592">
        <v>71</v>
      </c>
      <c r="T592">
        <v>0</v>
      </c>
      <c r="U592">
        <v>0</v>
      </c>
      <c r="V592">
        <v>464</v>
      </c>
      <c r="W592">
        <v>4800</v>
      </c>
      <c r="X592" t="s">
        <v>76</v>
      </c>
      <c r="Y592">
        <v>0.8520833333333333</v>
      </c>
      <c r="AA592">
        <v>1.4791666666666667E-2</v>
      </c>
    </row>
    <row r="593" spans="1:25">
      <c r="A593">
        <v>588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4217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462</v>
      </c>
      <c r="W593">
        <v>4805</v>
      </c>
      <c r="X593" t="s">
        <v>71</v>
      </c>
      <c r="Y593">
        <v>0.87762747138397501</v>
      </c>
    </row>
    <row r="594" spans="1:25">
      <c r="A594">
        <v>589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4217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462</v>
      </c>
      <c r="W594">
        <v>4807</v>
      </c>
      <c r="X594" t="s">
        <v>67</v>
      </c>
      <c r="Y594">
        <v>0.87726232577491159</v>
      </c>
    </row>
    <row r="595" spans="1:25">
      <c r="A595">
        <v>590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4223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462</v>
      </c>
      <c r="W595">
        <v>4813</v>
      </c>
      <c r="X595" t="s">
        <v>67</v>
      </c>
      <c r="Y595">
        <v>0.87741533347184708</v>
      </c>
    </row>
    <row r="596" spans="1:25">
      <c r="A596">
        <v>591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72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4152</v>
      </c>
      <c r="T596">
        <v>0</v>
      </c>
      <c r="U596">
        <v>0</v>
      </c>
      <c r="V596">
        <v>462</v>
      </c>
      <c r="W596">
        <v>4816</v>
      </c>
      <c r="X596" t="s">
        <v>59</v>
      </c>
      <c r="Y596">
        <v>0.86212624584717612</v>
      </c>
    </row>
    <row r="597" spans="1:25">
      <c r="A597">
        <v>592</v>
      </c>
      <c r="B597">
        <v>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0</v>
      </c>
      <c r="Q597">
        <v>4201</v>
      </c>
      <c r="R597">
        <v>0</v>
      </c>
      <c r="S597">
        <v>0</v>
      </c>
      <c r="T597">
        <v>0</v>
      </c>
      <c r="U597">
        <v>0</v>
      </c>
      <c r="V597">
        <v>462</v>
      </c>
      <c r="W597">
        <v>4804</v>
      </c>
      <c r="X597" t="s">
        <v>61</v>
      </c>
      <c r="Y597">
        <v>0.87447960033305583</v>
      </c>
    </row>
    <row r="598" spans="1:25">
      <c r="A598">
        <v>593</v>
      </c>
      <c r="B598">
        <v>0</v>
      </c>
      <c r="C598">
        <v>0</v>
      </c>
      <c r="D598">
        <v>4211</v>
      </c>
      <c r="E598">
        <v>1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4</v>
      </c>
      <c r="V598">
        <v>463</v>
      </c>
      <c r="W598">
        <v>4815</v>
      </c>
      <c r="X598" t="s">
        <v>74</v>
      </c>
      <c r="Y598">
        <v>0.8745586708203531</v>
      </c>
    </row>
    <row r="599" spans="1:25">
      <c r="A599">
        <v>594</v>
      </c>
      <c r="B599">
        <v>0</v>
      </c>
      <c r="C599">
        <v>0</v>
      </c>
      <c r="D599">
        <v>0</v>
      </c>
      <c r="E599">
        <v>12</v>
      </c>
      <c r="F599">
        <v>0</v>
      </c>
      <c r="G599">
        <v>4206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464</v>
      </c>
      <c r="W599">
        <v>4812</v>
      </c>
      <c r="X599" t="s">
        <v>71</v>
      </c>
      <c r="Y599">
        <v>0.87406483790523692</v>
      </c>
    </row>
    <row r="600" spans="1:25">
      <c r="A600">
        <v>595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4202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465</v>
      </c>
      <c r="W600">
        <v>4808</v>
      </c>
      <c r="X600" t="s">
        <v>71</v>
      </c>
      <c r="Y600">
        <v>0.87396006655574043</v>
      </c>
    </row>
    <row r="601" spans="1:25">
      <c r="A601">
        <v>596</v>
      </c>
      <c r="B601">
        <v>15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4192</v>
      </c>
      <c r="O601">
        <v>1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465</v>
      </c>
      <c r="W601">
        <v>4805</v>
      </c>
      <c r="X601" t="s">
        <v>64</v>
      </c>
      <c r="Y601">
        <v>0.87242455775234129</v>
      </c>
    </row>
    <row r="602" spans="1:25">
      <c r="A602">
        <v>597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4207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465</v>
      </c>
      <c r="W602">
        <v>4804</v>
      </c>
      <c r="X602" t="s">
        <v>65</v>
      </c>
      <c r="Y602">
        <v>0.87572855953372186</v>
      </c>
    </row>
    <row r="603" spans="1:25">
      <c r="A603">
        <v>598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2</v>
      </c>
      <c r="J603">
        <v>0</v>
      </c>
      <c r="K603">
        <v>4188</v>
      </c>
      <c r="L603">
        <v>8</v>
      </c>
      <c r="M603">
        <v>0</v>
      </c>
      <c r="N603">
        <v>4</v>
      </c>
      <c r="O603">
        <v>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480</v>
      </c>
      <c r="W603">
        <v>4803</v>
      </c>
      <c r="X603" t="s">
        <v>67</v>
      </c>
      <c r="Y603">
        <v>0.87195502810743286</v>
      </c>
    </row>
    <row r="604" spans="1:25">
      <c r="A604">
        <v>599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4206</v>
      </c>
      <c r="V604">
        <v>480</v>
      </c>
      <c r="W604">
        <v>4806</v>
      </c>
      <c r="X604" t="s">
        <v>57</v>
      </c>
      <c r="Y604">
        <v>0.87515605493133586</v>
      </c>
    </row>
    <row r="605" spans="1:25">
      <c r="A605">
        <v>600</v>
      </c>
      <c r="B605">
        <v>0</v>
      </c>
      <c r="C605">
        <v>0</v>
      </c>
      <c r="D605">
        <v>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4202</v>
      </c>
      <c r="N605">
        <v>0</v>
      </c>
      <c r="O605">
        <v>0</v>
      </c>
      <c r="P605">
        <v>0</v>
      </c>
      <c r="Q605">
        <v>2</v>
      </c>
      <c r="R605">
        <v>0</v>
      </c>
      <c r="S605">
        <v>0</v>
      </c>
      <c r="T605">
        <v>0</v>
      </c>
      <c r="U605">
        <v>0</v>
      </c>
      <c r="V605">
        <v>480</v>
      </c>
      <c r="W605">
        <v>4807</v>
      </c>
      <c r="X605" t="s">
        <v>65</v>
      </c>
      <c r="Y605">
        <v>0.87414187643020591</v>
      </c>
    </row>
    <row r="606" spans="1:25">
      <c r="A606">
        <v>601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4196</v>
      </c>
      <c r="J606">
        <v>0</v>
      </c>
      <c r="K606">
        <v>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</v>
      </c>
      <c r="T606">
        <v>0</v>
      </c>
      <c r="U606">
        <v>0</v>
      </c>
      <c r="V606">
        <v>480</v>
      </c>
      <c r="W606">
        <v>4804</v>
      </c>
      <c r="X606" t="s">
        <v>69</v>
      </c>
      <c r="Y606">
        <v>0.87343880099916738</v>
      </c>
    </row>
    <row r="607" spans="1:25">
      <c r="A607">
        <v>602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4205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480</v>
      </c>
      <c r="W607">
        <v>4807</v>
      </c>
      <c r="X607" t="s">
        <v>62</v>
      </c>
      <c r="Y607">
        <v>0.87476596629914705</v>
      </c>
    </row>
    <row r="608" spans="1:25">
      <c r="A608">
        <v>603</v>
      </c>
      <c r="B608">
        <v>0</v>
      </c>
      <c r="C608">
        <v>0</v>
      </c>
      <c r="D608">
        <v>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4185</v>
      </c>
      <c r="N608">
        <v>0</v>
      </c>
      <c r="O608">
        <v>0</v>
      </c>
      <c r="P608">
        <v>0</v>
      </c>
      <c r="Q608">
        <v>3</v>
      </c>
      <c r="R608">
        <v>0</v>
      </c>
      <c r="S608">
        <v>0</v>
      </c>
      <c r="T608">
        <v>0</v>
      </c>
      <c r="U608">
        <v>0</v>
      </c>
      <c r="V608">
        <v>480</v>
      </c>
      <c r="W608">
        <v>4793</v>
      </c>
      <c r="X608" t="s">
        <v>65</v>
      </c>
      <c r="Y608">
        <v>0.87314834133110786</v>
      </c>
    </row>
    <row r="609" spans="1:28">
      <c r="A609">
        <v>604</v>
      </c>
      <c r="B609">
        <v>0</v>
      </c>
      <c r="C609">
        <v>0</v>
      </c>
      <c r="D609">
        <v>0</v>
      </c>
      <c r="E609">
        <v>0</v>
      </c>
      <c r="F609">
        <v>2</v>
      </c>
      <c r="G609">
        <v>0</v>
      </c>
      <c r="H609">
        <v>0</v>
      </c>
      <c r="I609">
        <v>0</v>
      </c>
      <c r="J609">
        <v>0</v>
      </c>
      <c r="K609">
        <v>4203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480</v>
      </c>
      <c r="W609">
        <v>4809</v>
      </c>
      <c r="X609" t="s">
        <v>67</v>
      </c>
      <c r="Y609">
        <v>0.87398627573300058</v>
      </c>
    </row>
    <row r="610" spans="1:28">
      <c r="A610">
        <v>605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4205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480</v>
      </c>
      <c r="W610">
        <v>4813</v>
      </c>
      <c r="X610" t="s">
        <v>70</v>
      </c>
      <c r="Y610">
        <v>0.87367546228963222</v>
      </c>
    </row>
    <row r="611" spans="1:28">
      <c r="A611">
        <v>606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4187</v>
      </c>
      <c r="J611">
        <v>0</v>
      </c>
      <c r="K611">
        <v>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4</v>
      </c>
      <c r="T611">
        <v>0</v>
      </c>
      <c r="U611">
        <v>0</v>
      </c>
      <c r="V611">
        <v>480</v>
      </c>
      <c r="W611">
        <v>4802</v>
      </c>
      <c r="X611" t="s">
        <v>69</v>
      </c>
      <c r="Y611">
        <v>0.8719283631820075</v>
      </c>
    </row>
    <row r="612" spans="1:28">
      <c r="A612">
        <v>607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4204</v>
      </c>
      <c r="O612">
        <v>2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480</v>
      </c>
      <c r="W612">
        <v>4815</v>
      </c>
      <c r="X612" t="s">
        <v>64</v>
      </c>
      <c r="Y612">
        <v>0.87310488058151614</v>
      </c>
    </row>
    <row r="613" spans="1:28">
      <c r="A613">
        <v>608</v>
      </c>
      <c r="B613">
        <v>1</v>
      </c>
      <c r="C613">
        <v>0</v>
      </c>
      <c r="D613">
        <v>0</v>
      </c>
      <c r="E613">
        <v>4198</v>
      </c>
      <c r="F613">
        <v>0</v>
      </c>
      <c r="G613">
        <v>0</v>
      </c>
      <c r="H613">
        <v>0</v>
      </c>
      <c r="I613">
        <v>0</v>
      </c>
      <c r="J613">
        <v>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</v>
      </c>
      <c r="V613">
        <v>480</v>
      </c>
      <c r="W613">
        <v>4813</v>
      </c>
      <c r="X613" t="s">
        <v>73</v>
      </c>
      <c r="Y613">
        <v>0.87222106794099319</v>
      </c>
    </row>
    <row r="614" spans="1:28">
      <c r="A614">
        <v>609</v>
      </c>
      <c r="B614">
        <v>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4197</v>
      </c>
      <c r="T614">
        <v>0</v>
      </c>
      <c r="U614">
        <v>0</v>
      </c>
      <c r="V614">
        <v>480</v>
      </c>
      <c r="W614">
        <v>4815</v>
      </c>
      <c r="X614" t="s">
        <v>59</v>
      </c>
      <c r="Y614">
        <v>0.87165109034267918</v>
      </c>
    </row>
    <row r="615" spans="1:28">
      <c r="A615">
        <v>610</v>
      </c>
      <c r="B615">
        <v>1</v>
      </c>
      <c r="C615">
        <v>4178</v>
      </c>
      <c r="D615">
        <v>0</v>
      </c>
      <c r="E615">
        <v>0</v>
      </c>
      <c r="F615">
        <v>0</v>
      </c>
      <c r="G615">
        <v>6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480</v>
      </c>
      <c r="W615">
        <v>4797</v>
      </c>
      <c r="X615" t="s">
        <v>75</v>
      </c>
      <c r="Y615">
        <v>0.87096101730248077</v>
      </c>
    </row>
    <row r="616" spans="1:28">
      <c r="A616">
        <v>611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4193</v>
      </c>
      <c r="L616">
        <v>2</v>
      </c>
      <c r="M616">
        <v>0</v>
      </c>
      <c r="N616">
        <v>0</v>
      </c>
      <c r="O616">
        <v>0</v>
      </c>
      <c r="P616">
        <v>0</v>
      </c>
      <c r="Q616">
        <v>4</v>
      </c>
      <c r="R616">
        <v>0</v>
      </c>
      <c r="S616">
        <v>1</v>
      </c>
      <c r="T616">
        <v>0</v>
      </c>
      <c r="U616">
        <v>0</v>
      </c>
      <c r="V616">
        <v>480</v>
      </c>
      <c r="W616">
        <v>4811</v>
      </c>
      <c r="X616" t="s">
        <v>67</v>
      </c>
      <c r="Y616">
        <v>0.87154437746830182</v>
      </c>
    </row>
    <row r="617" spans="1:28">
      <c r="A617">
        <v>612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4194</v>
      </c>
      <c r="K617">
        <v>0</v>
      </c>
      <c r="L617">
        <v>0</v>
      </c>
      <c r="M617">
        <v>3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480</v>
      </c>
      <c r="W617">
        <v>4810</v>
      </c>
      <c r="X617" t="s">
        <v>68</v>
      </c>
      <c r="Y617">
        <v>0.87193347193347193</v>
      </c>
    </row>
    <row r="618" spans="1:28">
      <c r="A618">
        <v>613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</v>
      </c>
      <c r="Q618">
        <v>0</v>
      </c>
      <c r="R618">
        <v>0</v>
      </c>
      <c r="S618">
        <v>0</v>
      </c>
      <c r="T618">
        <v>4199</v>
      </c>
      <c r="U618">
        <v>0</v>
      </c>
      <c r="V618">
        <v>480</v>
      </c>
      <c r="W618">
        <v>4818</v>
      </c>
      <c r="X618" t="s">
        <v>58</v>
      </c>
      <c r="Y618">
        <v>0.87152345371523454</v>
      </c>
    </row>
    <row r="619" spans="1:28">
      <c r="A619">
        <v>614</v>
      </c>
      <c r="B619">
        <v>1</v>
      </c>
      <c r="C619">
        <v>0</v>
      </c>
      <c r="D619">
        <v>31</v>
      </c>
      <c r="E619">
        <v>4163</v>
      </c>
      <c r="F619">
        <v>0</v>
      </c>
      <c r="G619">
        <v>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480</v>
      </c>
      <c r="W619">
        <v>4818</v>
      </c>
      <c r="X619" t="s">
        <v>73</v>
      </c>
      <c r="Y619">
        <v>0.86405147364051471</v>
      </c>
    </row>
    <row r="620" spans="1:28">
      <c r="A620">
        <v>615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4190</v>
      </c>
      <c r="L620">
        <v>12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480</v>
      </c>
      <c r="W620">
        <v>4817</v>
      </c>
      <c r="X620" t="s">
        <v>67</v>
      </c>
      <c r="Y620">
        <v>0.8698359975088229</v>
      </c>
    </row>
    <row r="621" spans="1:28">
      <c r="A621">
        <v>616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4203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1</v>
      </c>
      <c r="S621">
        <v>3</v>
      </c>
      <c r="T621">
        <v>0</v>
      </c>
      <c r="U621">
        <v>0</v>
      </c>
      <c r="V621">
        <v>480</v>
      </c>
      <c r="W621">
        <v>4824</v>
      </c>
      <c r="X621" t="s">
        <v>66</v>
      </c>
      <c r="Y621">
        <v>0.87126865671641796</v>
      </c>
    </row>
    <row r="622" spans="1:28">
      <c r="A622">
        <v>617</v>
      </c>
      <c r="B622">
        <v>0</v>
      </c>
      <c r="C622">
        <v>0</v>
      </c>
      <c r="D622">
        <v>4207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480</v>
      </c>
      <c r="W622">
        <v>4824</v>
      </c>
      <c r="X622" t="s">
        <v>74</v>
      </c>
      <c r="Y622">
        <v>0.87209784411276947</v>
      </c>
    </row>
    <row r="623" spans="1:28">
      <c r="A623">
        <v>618</v>
      </c>
      <c r="B623">
        <v>0</v>
      </c>
      <c r="C623">
        <v>0</v>
      </c>
      <c r="D623">
        <v>98</v>
      </c>
      <c r="E623">
        <v>4028</v>
      </c>
      <c r="F623">
        <v>0</v>
      </c>
      <c r="G623">
        <v>12</v>
      </c>
      <c r="H623">
        <v>0</v>
      </c>
      <c r="I623">
        <v>0</v>
      </c>
      <c r="J623">
        <v>66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480</v>
      </c>
      <c r="W623">
        <v>4822</v>
      </c>
      <c r="X623" t="s">
        <v>73</v>
      </c>
      <c r="Y623">
        <v>0.83533803401078388</v>
      </c>
      <c r="AA623">
        <v>2.0323517212774783E-2</v>
      </c>
      <c r="AB623">
        <v>0.85566155122355869</v>
      </c>
    </row>
    <row r="624" spans="1:28">
      <c r="A624">
        <v>619</v>
      </c>
      <c r="B624">
        <v>0</v>
      </c>
      <c r="C624">
        <v>0</v>
      </c>
      <c r="D624">
        <v>4060</v>
      </c>
      <c r="E624">
        <v>113</v>
      </c>
      <c r="F624">
        <v>0</v>
      </c>
      <c r="G624">
        <v>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</v>
      </c>
      <c r="V624">
        <v>480</v>
      </c>
      <c r="W624">
        <v>4823</v>
      </c>
      <c r="X624" t="s">
        <v>74</v>
      </c>
      <c r="Y624">
        <v>0.84179970972423801</v>
      </c>
    </row>
    <row r="625" spans="1:27">
      <c r="A625">
        <v>620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4196</v>
      </c>
      <c r="V625">
        <v>480</v>
      </c>
      <c r="W625">
        <v>4817</v>
      </c>
      <c r="X625" t="s">
        <v>57</v>
      </c>
      <c r="Y625">
        <v>0.87108158604940833</v>
      </c>
    </row>
    <row r="626" spans="1:27">
      <c r="A626">
        <v>621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435</v>
      </c>
      <c r="K626">
        <v>0</v>
      </c>
      <c r="L626">
        <v>0</v>
      </c>
      <c r="M626">
        <v>0</v>
      </c>
      <c r="N626">
        <v>0</v>
      </c>
      <c r="O626">
        <v>3326</v>
      </c>
      <c r="P626">
        <v>440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480</v>
      </c>
      <c r="W626">
        <v>4822</v>
      </c>
      <c r="X626" t="s">
        <v>63</v>
      </c>
      <c r="Y626">
        <v>0.68975528826213195</v>
      </c>
      <c r="AA626">
        <v>9.1248444628784731E-2</v>
      </c>
    </row>
    <row r="627" spans="1:27">
      <c r="A627">
        <v>622</v>
      </c>
      <c r="B627">
        <v>0</v>
      </c>
      <c r="C627">
        <v>2</v>
      </c>
      <c r="D627">
        <v>0</v>
      </c>
      <c r="E627">
        <v>0</v>
      </c>
      <c r="F627">
        <v>0</v>
      </c>
      <c r="G627">
        <v>4167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3</v>
      </c>
      <c r="R627">
        <v>0</v>
      </c>
      <c r="S627">
        <v>1</v>
      </c>
      <c r="T627">
        <v>0</v>
      </c>
      <c r="U627">
        <v>0</v>
      </c>
      <c r="V627">
        <v>480</v>
      </c>
      <c r="W627">
        <v>4796</v>
      </c>
      <c r="X627" t="s">
        <v>71</v>
      </c>
      <c r="Y627">
        <v>0.86884904086738945</v>
      </c>
    </row>
    <row r="628" spans="1:27">
      <c r="A628">
        <v>623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2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4157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511</v>
      </c>
      <c r="W628">
        <v>4783</v>
      </c>
      <c r="X628" t="s">
        <v>62</v>
      </c>
      <c r="Y628">
        <v>0.86911979928914906</v>
      </c>
    </row>
    <row r="629" spans="1:27">
      <c r="A629">
        <v>624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4156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510</v>
      </c>
      <c r="W629">
        <v>4782</v>
      </c>
      <c r="X629" t="s">
        <v>67</v>
      </c>
      <c r="Y629">
        <v>0.86909242994562941</v>
      </c>
    </row>
    <row r="630" spans="1:27">
      <c r="A630">
        <v>625</v>
      </c>
      <c r="B630">
        <v>0</v>
      </c>
      <c r="C630">
        <v>4177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510</v>
      </c>
      <c r="W630">
        <v>4802</v>
      </c>
      <c r="X630" t="s">
        <v>75</v>
      </c>
      <c r="Y630">
        <v>0.86984589754269059</v>
      </c>
    </row>
    <row r="631" spans="1:27">
      <c r="A631">
        <v>626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4173</v>
      </c>
      <c r="N631">
        <v>0</v>
      </c>
      <c r="O631">
        <v>0</v>
      </c>
      <c r="P631">
        <v>0</v>
      </c>
      <c r="Q631">
        <v>1</v>
      </c>
      <c r="R631">
        <v>1</v>
      </c>
      <c r="S631">
        <v>0</v>
      </c>
      <c r="T631">
        <v>0</v>
      </c>
      <c r="U631">
        <v>0</v>
      </c>
      <c r="V631">
        <v>510</v>
      </c>
      <c r="W631">
        <v>4803</v>
      </c>
      <c r="X631" t="s">
        <v>65</v>
      </c>
      <c r="Y631">
        <v>0.86883198001249218</v>
      </c>
    </row>
    <row r="632" spans="1:27">
      <c r="A632">
        <v>627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4160</v>
      </c>
      <c r="O632">
        <v>0</v>
      </c>
      <c r="P632">
        <v>0</v>
      </c>
      <c r="Q632">
        <v>12</v>
      </c>
      <c r="R632">
        <v>3</v>
      </c>
      <c r="S632">
        <v>0</v>
      </c>
      <c r="T632">
        <v>0</v>
      </c>
      <c r="U632">
        <v>0</v>
      </c>
      <c r="V632">
        <v>511</v>
      </c>
      <c r="W632">
        <v>4802</v>
      </c>
      <c r="X632" t="s">
        <v>64</v>
      </c>
      <c r="Y632">
        <v>0.86630570595585177</v>
      </c>
    </row>
    <row r="633" spans="1:27">
      <c r="A633">
        <v>628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24</v>
      </c>
      <c r="J633">
        <v>1</v>
      </c>
      <c r="K633">
        <v>1509</v>
      </c>
      <c r="L633">
        <v>2588</v>
      </c>
      <c r="M633">
        <v>2</v>
      </c>
      <c r="N633">
        <v>1</v>
      </c>
      <c r="O633">
        <v>3</v>
      </c>
      <c r="P633">
        <v>0</v>
      </c>
      <c r="Q633">
        <v>0</v>
      </c>
      <c r="R633">
        <v>30</v>
      </c>
      <c r="S633">
        <v>17</v>
      </c>
      <c r="T633">
        <v>0</v>
      </c>
      <c r="U633">
        <v>0</v>
      </c>
      <c r="V633">
        <v>511</v>
      </c>
      <c r="W633">
        <v>4804</v>
      </c>
      <c r="X633" t="s">
        <v>66</v>
      </c>
      <c r="Y633">
        <v>0.53871773522064947</v>
      </c>
      <c r="AA633">
        <v>4.1631973355537054E-4</v>
      </c>
    </row>
    <row r="634" spans="1:27">
      <c r="A634">
        <v>629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4158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511</v>
      </c>
      <c r="W634">
        <v>4788</v>
      </c>
      <c r="X634" t="s">
        <v>65</v>
      </c>
      <c r="Y634">
        <v>0.86842105263157898</v>
      </c>
    </row>
    <row r="635" spans="1:27">
      <c r="A635">
        <v>630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4173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511</v>
      </c>
      <c r="W635">
        <v>4804</v>
      </c>
      <c r="X635" t="s">
        <v>64</v>
      </c>
      <c r="Y635">
        <v>0.8686511240632806</v>
      </c>
    </row>
    <row r="636" spans="1:27">
      <c r="A636">
        <v>631</v>
      </c>
      <c r="B636">
        <v>0</v>
      </c>
      <c r="C636">
        <v>0</v>
      </c>
      <c r="D636">
        <v>0</v>
      </c>
      <c r="E636">
        <v>0</v>
      </c>
      <c r="F636">
        <v>4172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511</v>
      </c>
      <c r="W636">
        <v>4804</v>
      </c>
      <c r="X636" t="s">
        <v>72</v>
      </c>
      <c r="Y636">
        <v>0.86844296419650291</v>
      </c>
    </row>
    <row r="637" spans="1:27">
      <c r="A637">
        <v>632</v>
      </c>
      <c r="B637">
        <v>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4164</v>
      </c>
      <c r="T637">
        <v>0</v>
      </c>
      <c r="U637">
        <v>0</v>
      </c>
      <c r="V637">
        <v>512</v>
      </c>
      <c r="W637">
        <v>4806</v>
      </c>
      <c r="X637" t="s">
        <v>59</v>
      </c>
      <c r="Y637">
        <v>0.86641697877652935</v>
      </c>
    </row>
    <row r="638" spans="1:27">
      <c r="A638">
        <v>633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3</v>
      </c>
      <c r="H638">
        <v>0</v>
      </c>
      <c r="I638">
        <v>3</v>
      </c>
      <c r="J638">
        <v>0</v>
      </c>
      <c r="K638">
        <v>0</v>
      </c>
      <c r="L638">
        <v>0</v>
      </c>
      <c r="M638">
        <v>34</v>
      </c>
      <c r="N638">
        <v>0</v>
      </c>
      <c r="O638">
        <v>0</v>
      </c>
      <c r="P638">
        <v>0</v>
      </c>
      <c r="Q638">
        <v>4001</v>
      </c>
      <c r="R638">
        <v>115</v>
      </c>
      <c r="S638">
        <v>0</v>
      </c>
      <c r="T638">
        <v>0</v>
      </c>
      <c r="U638">
        <v>0</v>
      </c>
      <c r="V638">
        <v>512</v>
      </c>
      <c r="W638">
        <v>4790</v>
      </c>
      <c r="X638" t="s">
        <v>61</v>
      </c>
      <c r="Y638">
        <v>0.83528183716075155</v>
      </c>
    </row>
    <row r="639" spans="1:27">
      <c r="A639">
        <v>634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4166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513</v>
      </c>
      <c r="W639">
        <v>4803</v>
      </c>
      <c r="X639" t="s">
        <v>70</v>
      </c>
      <c r="Y639">
        <v>0.8673745575681866</v>
      </c>
    </row>
    <row r="640" spans="1:27">
      <c r="A640">
        <v>635</v>
      </c>
      <c r="B640">
        <v>0</v>
      </c>
      <c r="C640">
        <v>0</v>
      </c>
      <c r="D640">
        <v>0</v>
      </c>
      <c r="E640">
        <v>2</v>
      </c>
      <c r="F640">
        <v>0</v>
      </c>
      <c r="G640">
        <v>0</v>
      </c>
      <c r="H640">
        <v>0</v>
      </c>
      <c r="I640">
        <v>0</v>
      </c>
      <c r="J640">
        <v>4139</v>
      </c>
      <c r="K640">
        <v>0</v>
      </c>
      <c r="L640">
        <v>0</v>
      </c>
      <c r="M640">
        <v>2</v>
      </c>
      <c r="N640">
        <v>0</v>
      </c>
      <c r="O640">
        <v>0</v>
      </c>
      <c r="P640">
        <v>27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514</v>
      </c>
      <c r="W640">
        <v>4805</v>
      </c>
      <c r="X640" t="s">
        <v>68</v>
      </c>
      <c r="Y640">
        <v>0.8613943808532778</v>
      </c>
    </row>
    <row r="641" spans="1:27">
      <c r="A641">
        <v>636</v>
      </c>
      <c r="B641">
        <v>0</v>
      </c>
      <c r="C641">
        <v>0</v>
      </c>
      <c r="D641">
        <v>0</v>
      </c>
      <c r="E641">
        <v>4145</v>
      </c>
      <c r="F641">
        <v>0</v>
      </c>
      <c r="G641">
        <v>26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514</v>
      </c>
      <c r="W641">
        <v>4809</v>
      </c>
      <c r="X641" t="s">
        <v>73</v>
      </c>
      <c r="Y641">
        <v>0.86192555624870038</v>
      </c>
    </row>
    <row r="642" spans="1:27">
      <c r="A642">
        <v>637</v>
      </c>
      <c r="B642">
        <v>2</v>
      </c>
      <c r="C642">
        <v>0</v>
      </c>
      <c r="D642">
        <v>0</v>
      </c>
      <c r="E642">
        <v>0</v>
      </c>
      <c r="F642">
        <v>3</v>
      </c>
      <c r="G642">
        <v>0</v>
      </c>
      <c r="H642">
        <v>0</v>
      </c>
      <c r="I642">
        <v>4052</v>
      </c>
      <c r="J642">
        <v>0</v>
      </c>
      <c r="K642">
        <v>3</v>
      </c>
      <c r="L642">
        <v>4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103</v>
      </c>
      <c r="T642">
        <v>0</v>
      </c>
      <c r="U642">
        <v>0</v>
      </c>
      <c r="V642">
        <v>514</v>
      </c>
      <c r="W642">
        <v>4804</v>
      </c>
      <c r="X642" t="s">
        <v>69</v>
      </c>
      <c r="Y642">
        <v>0.84346378018318069</v>
      </c>
    </row>
    <row r="643" spans="1:27">
      <c r="A643">
        <v>638</v>
      </c>
      <c r="B643">
        <v>0</v>
      </c>
      <c r="C643">
        <v>0</v>
      </c>
      <c r="D643">
        <v>2598</v>
      </c>
      <c r="E643">
        <v>1554</v>
      </c>
      <c r="F643">
        <v>0</v>
      </c>
      <c r="G643">
        <v>11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514</v>
      </c>
      <c r="W643">
        <v>4805</v>
      </c>
      <c r="X643" t="s">
        <v>74</v>
      </c>
      <c r="Y643">
        <v>0.54068678459937569</v>
      </c>
    </row>
    <row r="644" spans="1:27">
      <c r="A644">
        <v>639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4165</v>
      </c>
      <c r="R644">
        <v>0</v>
      </c>
      <c r="S644">
        <v>0</v>
      </c>
      <c r="T644">
        <v>0</v>
      </c>
      <c r="U644">
        <v>0</v>
      </c>
      <c r="V644">
        <v>514</v>
      </c>
      <c r="W644">
        <v>4807</v>
      </c>
      <c r="X644" t="s">
        <v>61</v>
      </c>
      <c r="Y644">
        <v>0.86644476804659876</v>
      </c>
    </row>
    <row r="645" spans="1:27">
      <c r="A645">
        <v>640</v>
      </c>
      <c r="B645">
        <v>0</v>
      </c>
      <c r="C645">
        <v>0</v>
      </c>
      <c r="D645">
        <v>1</v>
      </c>
      <c r="E645">
        <v>0</v>
      </c>
      <c r="F645">
        <v>5</v>
      </c>
      <c r="G645">
        <v>0</v>
      </c>
      <c r="H645">
        <v>0</v>
      </c>
      <c r="I645">
        <v>11</v>
      </c>
      <c r="J645">
        <v>0</v>
      </c>
      <c r="K645">
        <v>18</v>
      </c>
      <c r="L645">
        <v>96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4041</v>
      </c>
      <c r="T645">
        <v>0</v>
      </c>
      <c r="U645">
        <v>0</v>
      </c>
      <c r="V645">
        <v>514</v>
      </c>
      <c r="W645">
        <v>4812</v>
      </c>
      <c r="X645" t="s">
        <v>59</v>
      </c>
      <c r="Y645">
        <v>0.83977556109725682</v>
      </c>
    </row>
    <row r="646" spans="1:27">
      <c r="A646">
        <v>641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2</v>
      </c>
      <c r="K646">
        <v>0</v>
      </c>
      <c r="L646">
        <v>0</v>
      </c>
      <c r="M646">
        <v>4163</v>
      </c>
      <c r="N646">
        <v>0</v>
      </c>
      <c r="O646">
        <v>0</v>
      </c>
      <c r="P646">
        <v>0</v>
      </c>
      <c r="Q646">
        <v>6</v>
      </c>
      <c r="R646">
        <v>0</v>
      </c>
      <c r="S646">
        <v>0</v>
      </c>
      <c r="T646">
        <v>0</v>
      </c>
      <c r="U646">
        <v>0</v>
      </c>
      <c r="V646">
        <v>515</v>
      </c>
      <c r="W646">
        <v>4812</v>
      </c>
      <c r="X646" t="s">
        <v>65</v>
      </c>
      <c r="Y646">
        <v>0.8651288445552785</v>
      </c>
    </row>
    <row r="647" spans="1:27">
      <c r="A647">
        <v>642</v>
      </c>
      <c r="B647">
        <v>0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3580</v>
      </c>
      <c r="N647">
        <v>0</v>
      </c>
      <c r="O647">
        <v>0</v>
      </c>
      <c r="P647">
        <v>0</v>
      </c>
      <c r="Q647">
        <v>582</v>
      </c>
      <c r="R647">
        <v>3</v>
      </c>
      <c r="S647">
        <v>0</v>
      </c>
      <c r="T647">
        <v>0</v>
      </c>
      <c r="U647">
        <v>3</v>
      </c>
      <c r="V647">
        <v>515</v>
      </c>
      <c r="W647">
        <v>4811</v>
      </c>
      <c r="X647" t="s">
        <v>65</v>
      </c>
      <c r="Y647">
        <v>0.74412803990854293</v>
      </c>
    </row>
    <row r="648" spans="1:27">
      <c r="A648">
        <v>643</v>
      </c>
      <c r="B648">
        <v>4137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26</v>
      </c>
      <c r="S648">
        <v>2</v>
      </c>
      <c r="T648">
        <v>0</v>
      </c>
      <c r="U648">
        <v>0</v>
      </c>
      <c r="V648">
        <v>515</v>
      </c>
      <c r="W648">
        <v>4808</v>
      </c>
      <c r="X648" t="s">
        <v>76</v>
      </c>
      <c r="Y648">
        <v>0.86044093178036607</v>
      </c>
    </row>
    <row r="649" spans="1:27">
      <c r="A649">
        <v>644</v>
      </c>
      <c r="B649">
        <v>2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8</v>
      </c>
      <c r="J649">
        <v>0</v>
      </c>
      <c r="K649">
        <v>1</v>
      </c>
      <c r="L649">
        <v>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4152</v>
      </c>
      <c r="T649">
        <v>0</v>
      </c>
      <c r="U649">
        <v>0</v>
      </c>
      <c r="V649">
        <v>515</v>
      </c>
      <c r="W649">
        <v>4812</v>
      </c>
      <c r="X649" t="s">
        <v>59</v>
      </c>
      <c r="Y649">
        <v>0.86284289276807979</v>
      </c>
    </row>
    <row r="650" spans="1:27">
      <c r="A650">
        <v>645</v>
      </c>
      <c r="B650">
        <v>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12</v>
      </c>
      <c r="J650">
        <v>0</v>
      </c>
      <c r="K650">
        <v>0</v>
      </c>
      <c r="L650">
        <v>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4148</v>
      </c>
      <c r="T650">
        <v>0</v>
      </c>
      <c r="U650">
        <v>0</v>
      </c>
      <c r="V650">
        <v>515</v>
      </c>
      <c r="W650">
        <v>4816</v>
      </c>
      <c r="X650" t="s">
        <v>59</v>
      </c>
      <c r="Y650">
        <v>0.86129568106312293</v>
      </c>
    </row>
    <row r="651" spans="1:27">
      <c r="A651">
        <v>646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6</v>
      </c>
      <c r="J651">
        <v>0</v>
      </c>
      <c r="K651">
        <v>9</v>
      </c>
      <c r="L651">
        <v>4117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38</v>
      </c>
      <c r="S651">
        <v>2</v>
      </c>
      <c r="T651">
        <v>0</v>
      </c>
      <c r="U651">
        <v>0</v>
      </c>
      <c r="V651">
        <v>515</v>
      </c>
      <c r="W651">
        <v>4819</v>
      </c>
      <c r="X651" t="s">
        <v>66</v>
      </c>
      <c r="Y651">
        <v>0.85432662378086743</v>
      </c>
    </row>
    <row r="652" spans="1:27">
      <c r="A652">
        <v>647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4150</v>
      </c>
      <c r="O652">
        <v>2</v>
      </c>
      <c r="P652">
        <v>0</v>
      </c>
      <c r="Q652">
        <v>10</v>
      </c>
      <c r="R652">
        <v>1</v>
      </c>
      <c r="S652">
        <v>0</v>
      </c>
      <c r="T652">
        <v>0</v>
      </c>
      <c r="U652">
        <v>0</v>
      </c>
      <c r="V652">
        <v>515</v>
      </c>
      <c r="W652">
        <v>4811</v>
      </c>
      <c r="X652" t="s">
        <v>64</v>
      </c>
      <c r="Y652">
        <v>0.86260652670962379</v>
      </c>
    </row>
    <row r="653" spans="1:27">
      <c r="A653">
        <v>648</v>
      </c>
      <c r="B653">
        <v>4054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99</v>
      </c>
      <c r="R653">
        <v>9</v>
      </c>
      <c r="S653">
        <v>3</v>
      </c>
      <c r="T653">
        <v>0</v>
      </c>
      <c r="U653">
        <v>0</v>
      </c>
      <c r="V653">
        <v>515</v>
      </c>
      <c r="W653">
        <v>4814</v>
      </c>
      <c r="X653" t="s">
        <v>76</v>
      </c>
      <c r="Y653">
        <v>0.84212712920648114</v>
      </c>
      <c r="AA653">
        <v>2.0565018695471542E-2</v>
      </c>
    </row>
    <row r="654" spans="1:27">
      <c r="A654">
        <v>649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4167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515</v>
      </c>
      <c r="W654">
        <v>4817</v>
      </c>
      <c r="X654" t="s">
        <v>70</v>
      </c>
      <c r="Y654">
        <v>0.86506124143657881</v>
      </c>
    </row>
    <row r="655" spans="1:27">
      <c r="A655">
        <v>650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4170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515</v>
      </c>
      <c r="W655">
        <v>4820</v>
      </c>
      <c r="X655" t="s">
        <v>71</v>
      </c>
      <c r="Y655">
        <v>0.86514522821576767</v>
      </c>
    </row>
    <row r="656" spans="1:27">
      <c r="A656">
        <v>651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4163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515</v>
      </c>
      <c r="W656">
        <v>4815</v>
      </c>
      <c r="X656" t="s">
        <v>64</v>
      </c>
      <c r="Y656">
        <v>0.86458982346832813</v>
      </c>
    </row>
    <row r="657" spans="1:25">
      <c r="A657">
        <v>652</v>
      </c>
      <c r="B657">
        <v>4132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2</v>
      </c>
      <c r="O657">
        <v>0</v>
      </c>
      <c r="P657">
        <v>0</v>
      </c>
      <c r="Q657">
        <v>10</v>
      </c>
      <c r="R657">
        <v>8</v>
      </c>
      <c r="S657">
        <v>3</v>
      </c>
      <c r="T657">
        <v>0</v>
      </c>
      <c r="U657">
        <v>0</v>
      </c>
      <c r="V657">
        <v>515</v>
      </c>
      <c r="W657">
        <v>4807</v>
      </c>
      <c r="X657" t="s">
        <v>76</v>
      </c>
      <c r="Y657">
        <v>0.85957977948824627</v>
      </c>
    </row>
    <row r="658" spans="1:25">
      <c r="A658">
        <v>653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4150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515</v>
      </c>
      <c r="W658">
        <v>4826</v>
      </c>
      <c r="X658" t="s">
        <v>68</v>
      </c>
      <c r="Y658">
        <v>0.85992540406133444</v>
      </c>
    </row>
    <row r="659" spans="1:25">
      <c r="A659">
        <v>654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7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140</v>
      </c>
      <c r="N659">
        <v>0</v>
      </c>
      <c r="O659">
        <v>0</v>
      </c>
      <c r="P659">
        <v>1</v>
      </c>
      <c r="Q659">
        <v>4021</v>
      </c>
      <c r="R659">
        <v>0</v>
      </c>
      <c r="S659">
        <v>0</v>
      </c>
      <c r="T659">
        <v>0</v>
      </c>
      <c r="U659">
        <v>0</v>
      </c>
      <c r="V659">
        <v>515</v>
      </c>
      <c r="W659">
        <v>4824</v>
      </c>
      <c r="X659" t="s">
        <v>61</v>
      </c>
      <c r="Y659">
        <v>0.83354063018242119</v>
      </c>
    </row>
    <row r="660" spans="1:25">
      <c r="A660">
        <v>655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91</v>
      </c>
      <c r="J660">
        <v>0</v>
      </c>
      <c r="K660">
        <v>4</v>
      </c>
      <c r="L660">
        <v>4072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3</v>
      </c>
      <c r="S660">
        <v>0</v>
      </c>
      <c r="T660">
        <v>0</v>
      </c>
      <c r="U660">
        <v>0</v>
      </c>
      <c r="V660">
        <v>515</v>
      </c>
      <c r="W660">
        <v>4826</v>
      </c>
      <c r="X660" t="s">
        <v>66</v>
      </c>
      <c r="Y660">
        <v>0.84376295068379614</v>
      </c>
    </row>
    <row r="661" spans="1:25">
      <c r="A661">
        <v>656</v>
      </c>
      <c r="B661">
        <v>0</v>
      </c>
      <c r="C661">
        <v>0</v>
      </c>
      <c r="D661">
        <v>0</v>
      </c>
      <c r="E661">
        <v>4169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515</v>
      </c>
      <c r="W661">
        <v>4827</v>
      </c>
      <c r="X661" t="s">
        <v>73</v>
      </c>
      <c r="Y661">
        <v>0.86368344727574065</v>
      </c>
    </row>
    <row r="662" spans="1:25">
      <c r="A662">
        <v>657</v>
      </c>
      <c r="B662">
        <v>0</v>
      </c>
      <c r="C662">
        <v>0</v>
      </c>
      <c r="D662">
        <v>0</v>
      </c>
      <c r="E662">
        <v>0</v>
      </c>
      <c r="F662">
        <v>2</v>
      </c>
      <c r="G662">
        <v>0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4168</v>
      </c>
      <c r="V662">
        <v>515</v>
      </c>
      <c r="W662">
        <v>4829</v>
      </c>
      <c r="X662" t="s">
        <v>57</v>
      </c>
      <c r="Y662">
        <v>0.86311865810726862</v>
      </c>
    </row>
    <row r="663" spans="1:25">
      <c r="A663">
        <v>658</v>
      </c>
      <c r="B663">
        <v>0</v>
      </c>
      <c r="C663">
        <v>0</v>
      </c>
      <c r="D663">
        <v>4159</v>
      </c>
      <c r="E663">
        <v>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516</v>
      </c>
      <c r="W663">
        <v>4824</v>
      </c>
      <c r="X663" t="s">
        <v>74</v>
      </c>
      <c r="Y663">
        <v>0.86214759535655061</v>
      </c>
    </row>
    <row r="664" spans="1:25">
      <c r="A664">
        <v>659</v>
      </c>
      <c r="B664">
        <v>4153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9</v>
      </c>
      <c r="R664">
        <v>0</v>
      </c>
      <c r="S664">
        <v>0</v>
      </c>
      <c r="T664">
        <v>0</v>
      </c>
      <c r="U664">
        <v>0</v>
      </c>
      <c r="V664">
        <v>516</v>
      </c>
      <c r="W664">
        <v>4822</v>
      </c>
      <c r="X664" t="s">
        <v>76</v>
      </c>
      <c r="Y664">
        <v>0.86126088759850683</v>
      </c>
    </row>
    <row r="665" spans="1:25">
      <c r="A665">
        <v>660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4164</v>
      </c>
      <c r="T665">
        <v>0</v>
      </c>
      <c r="U665">
        <v>0</v>
      </c>
      <c r="V665">
        <v>516</v>
      </c>
      <c r="W665">
        <v>4828</v>
      </c>
      <c r="X665" t="s">
        <v>59</v>
      </c>
      <c r="Y665">
        <v>0.86246893123446566</v>
      </c>
    </row>
    <row r="666" spans="1:25">
      <c r="A666">
        <v>661</v>
      </c>
      <c r="B666">
        <v>4163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5</v>
      </c>
      <c r="R666">
        <v>2</v>
      </c>
      <c r="S666">
        <v>1</v>
      </c>
      <c r="T666">
        <v>0</v>
      </c>
      <c r="U666">
        <v>0</v>
      </c>
      <c r="V666">
        <v>517</v>
      </c>
      <c r="W666">
        <v>4832</v>
      </c>
      <c r="X666" t="s">
        <v>76</v>
      </c>
      <c r="Y666">
        <v>0.86154801324503316</v>
      </c>
    </row>
    <row r="667" spans="1:25">
      <c r="A667">
        <v>662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2</v>
      </c>
      <c r="R667">
        <v>4160</v>
      </c>
      <c r="S667">
        <v>0</v>
      </c>
      <c r="T667">
        <v>0</v>
      </c>
      <c r="U667">
        <v>0</v>
      </c>
      <c r="V667">
        <v>517</v>
      </c>
      <c r="W667">
        <v>4825</v>
      </c>
      <c r="X667" t="s">
        <v>60</v>
      </c>
      <c r="Y667">
        <v>0.86217616580310885</v>
      </c>
    </row>
    <row r="668" spans="1:25">
      <c r="A668">
        <v>663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4170</v>
      </c>
      <c r="S668">
        <v>0</v>
      </c>
      <c r="T668">
        <v>0</v>
      </c>
      <c r="U668">
        <v>0</v>
      </c>
      <c r="V668">
        <v>518</v>
      </c>
      <c r="W668">
        <v>4833</v>
      </c>
      <c r="X668" t="s">
        <v>60</v>
      </c>
      <c r="Y668">
        <v>0.86281812538795777</v>
      </c>
    </row>
    <row r="669" spans="1:25">
      <c r="A669">
        <v>664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4169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518</v>
      </c>
      <c r="W669">
        <v>4834</v>
      </c>
      <c r="X669" t="s">
        <v>70</v>
      </c>
      <c r="Y669">
        <v>0.86243276789408363</v>
      </c>
    </row>
    <row r="670" spans="1:25">
      <c r="A670">
        <v>665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4165</v>
      </c>
      <c r="R670">
        <v>0</v>
      </c>
      <c r="S670">
        <v>0</v>
      </c>
      <c r="T670">
        <v>0</v>
      </c>
      <c r="U670">
        <v>0</v>
      </c>
      <c r="V670">
        <v>518</v>
      </c>
      <c r="W670">
        <v>4831</v>
      </c>
      <c r="X670" t="s">
        <v>61</v>
      </c>
      <c r="Y670">
        <v>0.86214034361415859</v>
      </c>
    </row>
    <row r="671" spans="1:25">
      <c r="A671">
        <v>666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4168</v>
      </c>
      <c r="U671">
        <v>0</v>
      </c>
      <c r="V671">
        <v>518</v>
      </c>
      <c r="W671">
        <v>4836</v>
      </c>
      <c r="X671" t="s">
        <v>58</v>
      </c>
      <c r="Y671">
        <v>0.86186931348221674</v>
      </c>
    </row>
    <row r="672" spans="1:25">
      <c r="A672">
        <v>667</v>
      </c>
      <c r="B672">
        <v>0</v>
      </c>
      <c r="C672">
        <v>0</v>
      </c>
      <c r="D672">
        <v>0</v>
      </c>
      <c r="E672">
        <v>0</v>
      </c>
      <c r="F672">
        <v>3</v>
      </c>
      <c r="G672">
        <v>0</v>
      </c>
      <c r="H672">
        <v>0</v>
      </c>
      <c r="I672">
        <v>3742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5</v>
      </c>
      <c r="R672">
        <v>38</v>
      </c>
      <c r="S672">
        <v>364</v>
      </c>
      <c r="T672">
        <v>0</v>
      </c>
      <c r="U672">
        <v>0</v>
      </c>
      <c r="V672">
        <v>518</v>
      </c>
      <c r="W672">
        <v>4820</v>
      </c>
      <c r="X672" t="s">
        <v>69</v>
      </c>
      <c r="Y672">
        <v>0.77634854771784234</v>
      </c>
    </row>
    <row r="673" spans="1:25">
      <c r="A673">
        <v>668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4155</v>
      </c>
      <c r="O673">
        <v>1</v>
      </c>
      <c r="P673">
        <v>0</v>
      </c>
      <c r="Q673">
        <v>7</v>
      </c>
      <c r="R673">
        <v>0</v>
      </c>
      <c r="S673">
        <v>0</v>
      </c>
      <c r="T673">
        <v>0</v>
      </c>
      <c r="U673">
        <v>0</v>
      </c>
      <c r="V673">
        <v>518</v>
      </c>
      <c r="W673">
        <v>4831</v>
      </c>
      <c r="X673" t="s">
        <v>64</v>
      </c>
      <c r="Y673">
        <v>0.8600703788035603</v>
      </c>
    </row>
    <row r="674" spans="1:25">
      <c r="A674">
        <v>669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4161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518</v>
      </c>
      <c r="W674">
        <v>4831</v>
      </c>
      <c r="X674" t="s">
        <v>68</v>
      </c>
      <c r="Y674">
        <v>0.86131235768991932</v>
      </c>
    </row>
    <row r="675" spans="1:25">
      <c r="A675">
        <v>670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4163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518</v>
      </c>
      <c r="W675">
        <v>4838</v>
      </c>
      <c r="X675" t="s">
        <v>62</v>
      </c>
      <c r="Y675">
        <v>0.86047953699875979</v>
      </c>
    </row>
    <row r="676" spans="1:25">
      <c r="A676">
        <v>671</v>
      </c>
      <c r="B676">
        <v>0</v>
      </c>
      <c r="C676">
        <v>0</v>
      </c>
      <c r="D676">
        <v>2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4158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518</v>
      </c>
      <c r="W676">
        <v>4832</v>
      </c>
      <c r="X676" t="s">
        <v>65</v>
      </c>
      <c r="Y676">
        <v>0.86051324503311255</v>
      </c>
    </row>
    <row r="677" spans="1:25">
      <c r="A677">
        <v>672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4155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524</v>
      </c>
      <c r="W677">
        <v>4829</v>
      </c>
      <c r="X677" t="s">
        <v>62</v>
      </c>
      <c r="Y677">
        <v>0.86042658935597427</v>
      </c>
    </row>
    <row r="678" spans="1:25">
      <c r="A678">
        <v>673</v>
      </c>
      <c r="B678">
        <v>0</v>
      </c>
      <c r="C678">
        <v>0</v>
      </c>
      <c r="D678">
        <v>0</v>
      </c>
      <c r="E678">
        <v>0</v>
      </c>
      <c r="F678">
        <v>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4153</v>
      </c>
      <c r="R678">
        <v>0</v>
      </c>
      <c r="S678">
        <v>0</v>
      </c>
      <c r="T678">
        <v>0</v>
      </c>
      <c r="U678">
        <v>0</v>
      </c>
      <c r="V678">
        <v>524</v>
      </c>
      <c r="W678">
        <v>4830</v>
      </c>
      <c r="X678" t="s">
        <v>61</v>
      </c>
      <c r="Y678">
        <v>0.85983436853002071</v>
      </c>
    </row>
    <row r="679" spans="1:25">
      <c r="A679">
        <v>674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4157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5</v>
      </c>
      <c r="T679">
        <v>0</v>
      </c>
      <c r="U679">
        <v>0</v>
      </c>
      <c r="V679">
        <v>524</v>
      </c>
      <c r="W679">
        <v>4837</v>
      </c>
      <c r="X679" t="s">
        <v>69</v>
      </c>
      <c r="Y679">
        <v>0.8594169940045483</v>
      </c>
    </row>
    <row r="680" spans="1:25">
      <c r="A680">
        <v>675</v>
      </c>
      <c r="B680">
        <v>0</v>
      </c>
      <c r="C680">
        <v>0</v>
      </c>
      <c r="D680">
        <v>0</v>
      </c>
      <c r="E680">
        <v>0</v>
      </c>
      <c r="F680">
        <v>11</v>
      </c>
      <c r="G680">
        <v>0</v>
      </c>
      <c r="H680">
        <v>0</v>
      </c>
      <c r="I680">
        <v>2</v>
      </c>
      <c r="J680">
        <v>0</v>
      </c>
      <c r="K680">
        <v>4147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524</v>
      </c>
      <c r="W680">
        <v>4835</v>
      </c>
      <c r="X680" t="s">
        <v>67</v>
      </c>
      <c r="Y680">
        <v>0.85770423991726996</v>
      </c>
    </row>
    <row r="681" spans="1:25">
      <c r="A681">
        <v>676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4151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525</v>
      </c>
      <c r="W681">
        <v>4827</v>
      </c>
      <c r="X681" t="s">
        <v>65</v>
      </c>
      <c r="Y681">
        <v>0.85995442303708303</v>
      </c>
    </row>
    <row r="682" spans="1:25">
      <c r="A682">
        <v>677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</v>
      </c>
      <c r="R682">
        <v>4159</v>
      </c>
      <c r="S682">
        <v>0</v>
      </c>
      <c r="T682">
        <v>0</v>
      </c>
      <c r="U682">
        <v>0</v>
      </c>
      <c r="V682">
        <v>525</v>
      </c>
      <c r="W682">
        <v>4839</v>
      </c>
      <c r="X682" t="s">
        <v>60</v>
      </c>
      <c r="Y682">
        <v>0.85947509816077705</v>
      </c>
    </row>
    <row r="683" spans="1:25">
      <c r="A683">
        <v>678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8</v>
      </c>
      <c r="N683">
        <v>0</v>
      </c>
      <c r="O683">
        <v>0</v>
      </c>
      <c r="P683">
        <v>1</v>
      </c>
      <c r="Q683">
        <v>4124</v>
      </c>
      <c r="R683">
        <v>6</v>
      </c>
      <c r="S683">
        <v>0</v>
      </c>
      <c r="T683">
        <v>0</v>
      </c>
      <c r="U683">
        <v>0</v>
      </c>
      <c r="V683">
        <v>525</v>
      </c>
      <c r="W683">
        <v>4817</v>
      </c>
      <c r="X683" t="s">
        <v>61</v>
      </c>
      <c r="Y683">
        <v>0.85613452356238318</v>
      </c>
    </row>
    <row r="684" spans="1:25">
      <c r="A684">
        <v>679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4162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524</v>
      </c>
      <c r="W684">
        <v>4842</v>
      </c>
      <c r="X684" t="s">
        <v>63</v>
      </c>
      <c r="Y684">
        <v>0.8595621643948782</v>
      </c>
    </row>
    <row r="685" spans="1:25">
      <c r="A685">
        <v>680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15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4140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524</v>
      </c>
      <c r="W685">
        <v>4836</v>
      </c>
      <c r="X685" t="s">
        <v>62</v>
      </c>
      <c r="Y685">
        <v>0.85607940446650121</v>
      </c>
    </row>
    <row r="686" spans="1:25">
      <c r="A686">
        <v>681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4140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22</v>
      </c>
      <c r="T686">
        <v>0</v>
      </c>
      <c r="U686">
        <v>0</v>
      </c>
      <c r="V686">
        <v>524</v>
      </c>
      <c r="W686">
        <v>4843</v>
      </c>
      <c r="X686" t="s">
        <v>71</v>
      </c>
      <c r="Y686">
        <v>0.85484204005781539</v>
      </c>
    </row>
    <row r="687" spans="1:25">
      <c r="A687">
        <v>682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4010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147</v>
      </c>
      <c r="T687">
        <v>0</v>
      </c>
      <c r="U687">
        <v>0</v>
      </c>
      <c r="V687">
        <v>524</v>
      </c>
      <c r="W687">
        <v>4841</v>
      </c>
      <c r="X687" t="s">
        <v>69</v>
      </c>
      <c r="Y687">
        <v>0.82834125180747775</v>
      </c>
    </row>
    <row r="688" spans="1:25">
      <c r="A688">
        <v>683</v>
      </c>
      <c r="B688">
        <v>0</v>
      </c>
      <c r="C688">
        <v>0</v>
      </c>
      <c r="D688">
        <v>0</v>
      </c>
      <c r="E688">
        <v>0</v>
      </c>
      <c r="F688">
        <v>10</v>
      </c>
      <c r="G688">
        <v>0</v>
      </c>
      <c r="H688">
        <v>0</v>
      </c>
      <c r="I688">
        <v>14</v>
      </c>
      <c r="J688">
        <v>0</v>
      </c>
      <c r="K688">
        <v>4134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524</v>
      </c>
      <c r="W688">
        <v>4842</v>
      </c>
      <c r="X688" t="s">
        <v>67</v>
      </c>
      <c r="Y688">
        <v>0.85377942998760847</v>
      </c>
    </row>
    <row r="689" spans="1:25">
      <c r="A689">
        <v>684</v>
      </c>
      <c r="B689">
        <v>0</v>
      </c>
      <c r="C689">
        <v>0</v>
      </c>
      <c r="D689">
        <v>0</v>
      </c>
      <c r="E689">
        <v>4162</v>
      </c>
      <c r="F689">
        <v>0</v>
      </c>
      <c r="G689">
        <v>1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524</v>
      </c>
      <c r="W689">
        <v>4848</v>
      </c>
      <c r="X689" t="s">
        <v>73</v>
      </c>
      <c r="Y689">
        <v>0.85849834983498352</v>
      </c>
    </row>
    <row r="690" spans="1:25">
      <c r="A690">
        <v>685</v>
      </c>
      <c r="B690">
        <v>0</v>
      </c>
      <c r="C690">
        <v>0</v>
      </c>
      <c r="D690">
        <v>4149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524</v>
      </c>
      <c r="W690">
        <v>4834</v>
      </c>
      <c r="X690" t="s">
        <v>74</v>
      </c>
      <c r="Y690">
        <v>0.85829540752999589</v>
      </c>
    </row>
    <row r="691" spans="1:25">
      <c r="A691">
        <v>686</v>
      </c>
      <c r="B691">
        <v>0</v>
      </c>
      <c r="C691">
        <v>0</v>
      </c>
      <c r="D691">
        <v>0</v>
      </c>
      <c r="E691">
        <v>4163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524</v>
      </c>
      <c r="W691">
        <v>4849</v>
      </c>
      <c r="X691" t="s">
        <v>73</v>
      </c>
      <c r="Y691">
        <v>0.85852753144978344</v>
      </c>
    </row>
    <row r="692" spans="1:25">
      <c r="A692">
        <v>687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4</v>
      </c>
      <c r="I692">
        <v>0</v>
      </c>
      <c r="J692">
        <v>44</v>
      </c>
      <c r="K692">
        <v>3</v>
      </c>
      <c r="L692">
        <v>0</v>
      </c>
      <c r="M692">
        <v>0</v>
      </c>
      <c r="N692">
        <v>0</v>
      </c>
      <c r="O692">
        <v>4091</v>
      </c>
      <c r="P692">
        <v>20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524</v>
      </c>
      <c r="W692">
        <v>4849</v>
      </c>
      <c r="X692" t="s">
        <v>63</v>
      </c>
      <c r="Y692">
        <v>0.84367910909465871</v>
      </c>
    </row>
    <row r="693" spans="1:25">
      <c r="A693">
        <v>688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3</v>
      </c>
      <c r="J693">
        <v>0</v>
      </c>
      <c r="K693">
        <v>0</v>
      </c>
      <c r="L693">
        <v>4154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6</v>
      </c>
      <c r="T693">
        <v>0</v>
      </c>
      <c r="U693">
        <v>0</v>
      </c>
      <c r="V693">
        <v>525</v>
      </c>
      <c r="W693">
        <v>4851</v>
      </c>
      <c r="X693" t="s">
        <v>66</v>
      </c>
      <c r="Y693">
        <v>0.85631828488971351</v>
      </c>
    </row>
    <row r="694" spans="1:25">
      <c r="A694">
        <v>689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4161</v>
      </c>
      <c r="V694">
        <v>525</v>
      </c>
      <c r="W694">
        <v>4850</v>
      </c>
      <c r="X694" t="s">
        <v>57</v>
      </c>
      <c r="Y694">
        <v>0.8579381443298969</v>
      </c>
    </row>
    <row r="695" spans="1:25">
      <c r="A695">
        <v>690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2</v>
      </c>
      <c r="I695">
        <v>0</v>
      </c>
      <c r="J695">
        <v>5</v>
      </c>
      <c r="K695">
        <v>0</v>
      </c>
      <c r="L695">
        <v>0</v>
      </c>
      <c r="M695">
        <v>0</v>
      </c>
      <c r="N695">
        <v>0</v>
      </c>
      <c r="O695">
        <v>4137</v>
      </c>
      <c r="P695">
        <v>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525</v>
      </c>
      <c r="W695">
        <v>4843</v>
      </c>
      <c r="X695" t="s">
        <v>63</v>
      </c>
      <c r="Y695">
        <v>0.85422258930415029</v>
      </c>
    </row>
    <row r="696" spans="1:25">
      <c r="A696">
        <v>691</v>
      </c>
      <c r="B696">
        <v>0</v>
      </c>
      <c r="C696">
        <v>0</v>
      </c>
      <c r="D696">
        <v>0</v>
      </c>
      <c r="E696">
        <v>2</v>
      </c>
      <c r="F696">
        <v>0</v>
      </c>
      <c r="G696">
        <v>0</v>
      </c>
      <c r="H696">
        <v>0</v>
      </c>
      <c r="I696">
        <v>0</v>
      </c>
      <c r="J696">
        <v>4154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525</v>
      </c>
      <c r="W696">
        <v>4852</v>
      </c>
      <c r="X696" t="s">
        <v>68</v>
      </c>
      <c r="Y696">
        <v>0.85614179719703221</v>
      </c>
    </row>
    <row r="697" spans="1:25">
      <c r="A697">
        <v>692</v>
      </c>
      <c r="B697">
        <v>0</v>
      </c>
      <c r="C697">
        <v>4158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524</v>
      </c>
      <c r="W697">
        <v>4850</v>
      </c>
      <c r="X697" t="s">
        <v>75</v>
      </c>
      <c r="Y697">
        <v>0.85731958762886595</v>
      </c>
    </row>
    <row r="698" spans="1:25">
      <c r="A698">
        <v>693</v>
      </c>
      <c r="B698">
        <v>0</v>
      </c>
      <c r="C698">
        <v>4162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524</v>
      </c>
      <c r="W698">
        <v>4856</v>
      </c>
      <c r="X698" t="s">
        <v>75</v>
      </c>
      <c r="Y698">
        <v>0.85708401976935744</v>
      </c>
    </row>
    <row r="699" spans="1:25">
      <c r="A699">
        <v>694</v>
      </c>
      <c r="B699">
        <v>1</v>
      </c>
      <c r="C699">
        <v>0</v>
      </c>
      <c r="D699">
        <v>2</v>
      </c>
      <c r="E699">
        <v>0</v>
      </c>
      <c r="F699">
        <v>0</v>
      </c>
      <c r="G699">
        <v>4</v>
      </c>
      <c r="H699">
        <v>3</v>
      </c>
      <c r="I699">
        <v>9</v>
      </c>
      <c r="J699">
        <v>1</v>
      </c>
      <c r="K699">
        <v>0</v>
      </c>
      <c r="L699">
        <v>0</v>
      </c>
      <c r="M699">
        <v>3709</v>
      </c>
      <c r="N699">
        <v>0</v>
      </c>
      <c r="O699">
        <v>0</v>
      </c>
      <c r="P699">
        <v>4</v>
      </c>
      <c r="Q699">
        <v>338</v>
      </c>
      <c r="R699">
        <v>57</v>
      </c>
      <c r="S699">
        <v>0</v>
      </c>
      <c r="T699">
        <v>0</v>
      </c>
      <c r="U699">
        <v>31</v>
      </c>
      <c r="V699">
        <v>524</v>
      </c>
      <c r="W699">
        <v>4853</v>
      </c>
      <c r="X699" t="s">
        <v>65</v>
      </c>
      <c r="Y699">
        <v>0.76426952400576964</v>
      </c>
    </row>
    <row r="700" spans="1:25">
      <c r="A700">
        <v>695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14</v>
      </c>
      <c r="J700">
        <v>0</v>
      </c>
      <c r="K700">
        <v>4135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525</v>
      </c>
      <c r="W700">
        <v>4844</v>
      </c>
      <c r="X700" t="s">
        <v>67</v>
      </c>
      <c r="Y700">
        <v>0.85363336085879438</v>
      </c>
    </row>
    <row r="701" spans="1:25">
      <c r="A701">
        <v>696</v>
      </c>
      <c r="B701">
        <v>0</v>
      </c>
      <c r="C701">
        <v>0</v>
      </c>
      <c r="D701">
        <v>0</v>
      </c>
      <c r="E701">
        <v>0</v>
      </c>
      <c r="F701">
        <v>4146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525</v>
      </c>
      <c r="W701">
        <v>4842</v>
      </c>
      <c r="X701" t="s">
        <v>72</v>
      </c>
      <c r="Y701">
        <v>0.85625774473358118</v>
      </c>
    </row>
    <row r="702" spans="1:25">
      <c r="A702">
        <v>697</v>
      </c>
      <c r="B702">
        <v>0</v>
      </c>
      <c r="C702">
        <v>0</v>
      </c>
      <c r="D702">
        <v>0</v>
      </c>
      <c r="E702">
        <v>4155</v>
      </c>
      <c r="F702">
        <v>0</v>
      </c>
      <c r="G702">
        <v>4</v>
      </c>
      <c r="H702">
        <v>0</v>
      </c>
      <c r="I702">
        <v>0</v>
      </c>
      <c r="J702">
        <v>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525</v>
      </c>
      <c r="W702">
        <v>4858</v>
      </c>
      <c r="X702" t="s">
        <v>73</v>
      </c>
      <c r="Y702">
        <v>0.85529024289831201</v>
      </c>
    </row>
    <row r="703" spans="1:25">
      <c r="A703">
        <v>698</v>
      </c>
      <c r="B703">
        <v>0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4140</v>
      </c>
      <c r="K703">
        <v>0</v>
      </c>
      <c r="L703">
        <v>0</v>
      </c>
      <c r="M703">
        <v>18</v>
      </c>
      <c r="N703">
        <v>0</v>
      </c>
      <c r="O703">
        <v>1</v>
      </c>
      <c r="P703">
        <v>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525</v>
      </c>
      <c r="W703">
        <v>4860</v>
      </c>
      <c r="X703" t="s">
        <v>68</v>
      </c>
      <c r="Y703">
        <v>0.85185185185185186</v>
      </c>
    </row>
    <row r="704" spans="1:25">
      <c r="A704">
        <v>699</v>
      </c>
      <c r="B704">
        <v>0</v>
      </c>
      <c r="C704">
        <v>0</v>
      </c>
      <c r="D704">
        <v>0</v>
      </c>
      <c r="E704">
        <v>0</v>
      </c>
      <c r="F704">
        <v>4160</v>
      </c>
      <c r="G704">
        <v>0</v>
      </c>
      <c r="H704">
        <v>0</v>
      </c>
      <c r="I704">
        <v>0</v>
      </c>
      <c r="J704">
        <v>0</v>
      </c>
      <c r="K704">
        <v>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525</v>
      </c>
      <c r="W704">
        <v>4861</v>
      </c>
      <c r="X704" t="s">
        <v>72</v>
      </c>
      <c r="Y704">
        <v>0.85579098950833166</v>
      </c>
    </row>
    <row r="705" spans="1:25">
      <c r="A705">
        <v>700</v>
      </c>
      <c r="B705">
        <v>0</v>
      </c>
      <c r="C705">
        <v>0</v>
      </c>
      <c r="D705">
        <v>0</v>
      </c>
      <c r="E705">
        <v>0</v>
      </c>
      <c r="F705">
        <v>4159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2</v>
      </c>
      <c r="R705">
        <v>0</v>
      </c>
      <c r="S705">
        <v>0</v>
      </c>
      <c r="T705">
        <v>0</v>
      </c>
      <c r="U705">
        <v>0</v>
      </c>
      <c r="V705">
        <v>525</v>
      </c>
      <c r="W705">
        <v>4861</v>
      </c>
      <c r="X705" t="s">
        <v>72</v>
      </c>
      <c r="Y705">
        <v>0.85558527052046907</v>
      </c>
    </row>
    <row r="706" spans="1:25">
      <c r="A706">
        <v>701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4147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526</v>
      </c>
      <c r="W706">
        <v>4848</v>
      </c>
      <c r="X706" t="s">
        <v>64</v>
      </c>
      <c r="Y706">
        <v>0.85540429042904287</v>
      </c>
    </row>
    <row r="707" spans="1:25">
      <c r="A707">
        <v>702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4162</v>
      </c>
      <c r="R707">
        <v>0</v>
      </c>
      <c r="S707">
        <v>0</v>
      </c>
      <c r="T707">
        <v>0</v>
      </c>
      <c r="U707">
        <v>0</v>
      </c>
      <c r="V707">
        <v>526</v>
      </c>
      <c r="W707">
        <v>4865</v>
      </c>
      <c r="X707" t="s">
        <v>61</v>
      </c>
      <c r="Y707">
        <v>0.85549845837615623</v>
      </c>
    </row>
    <row r="708" spans="1:25">
      <c r="A708">
        <v>703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4161</v>
      </c>
      <c r="R708">
        <v>1</v>
      </c>
      <c r="S708">
        <v>0</v>
      </c>
      <c r="T708">
        <v>0</v>
      </c>
      <c r="U708">
        <v>0</v>
      </c>
      <c r="V708">
        <v>526</v>
      </c>
      <c r="W708">
        <v>4866</v>
      </c>
      <c r="X708" t="s">
        <v>61</v>
      </c>
      <c r="Y708">
        <v>0.85511713933415534</v>
      </c>
    </row>
    <row r="709" spans="1:25">
      <c r="A709">
        <v>704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13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4127</v>
      </c>
      <c r="R709">
        <v>8</v>
      </c>
      <c r="S709">
        <v>0</v>
      </c>
      <c r="T709">
        <v>0</v>
      </c>
      <c r="U709">
        <v>0</v>
      </c>
      <c r="V709">
        <v>526</v>
      </c>
      <c r="W709">
        <v>4854</v>
      </c>
      <c r="X709" t="s">
        <v>61</v>
      </c>
      <c r="Y709">
        <v>0.85022661722290893</v>
      </c>
    </row>
    <row r="710" spans="1:25">
      <c r="A710">
        <v>705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4162</v>
      </c>
      <c r="V710">
        <v>526</v>
      </c>
      <c r="W710">
        <v>4868</v>
      </c>
      <c r="X710" t="s">
        <v>57</v>
      </c>
      <c r="Y710">
        <v>0.85497124075595732</v>
      </c>
    </row>
    <row r="711" spans="1:25">
      <c r="A711">
        <v>706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4151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526</v>
      </c>
      <c r="W711">
        <v>4858</v>
      </c>
      <c r="X711" t="s">
        <v>62</v>
      </c>
      <c r="Y711">
        <v>0.85446685878962536</v>
      </c>
    </row>
    <row r="712" spans="1:25">
      <c r="A712">
        <v>707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6</v>
      </c>
      <c r="H712">
        <v>0</v>
      </c>
      <c r="I712">
        <v>0</v>
      </c>
      <c r="J712">
        <v>2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4154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526</v>
      </c>
      <c r="W712">
        <v>4870</v>
      </c>
      <c r="X712" t="s">
        <v>62</v>
      </c>
      <c r="Y712">
        <v>0.85297741273100613</v>
      </c>
    </row>
    <row r="713" spans="1:25">
      <c r="A713">
        <v>708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4161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527</v>
      </c>
      <c r="W713">
        <v>4869</v>
      </c>
      <c r="X713" t="s">
        <v>64</v>
      </c>
      <c r="Y713">
        <v>0.85459026494146639</v>
      </c>
    </row>
    <row r="714" spans="1:25">
      <c r="A714">
        <v>709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2</v>
      </c>
      <c r="H714">
        <v>0</v>
      </c>
      <c r="I714">
        <v>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4148</v>
      </c>
      <c r="T714">
        <v>0</v>
      </c>
      <c r="U714">
        <v>0</v>
      </c>
      <c r="V714">
        <v>527</v>
      </c>
      <c r="W714">
        <v>4868</v>
      </c>
      <c r="X714" t="s">
        <v>59</v>
      </c>
      <c r="Y714">
        <v>0.85209531635168445</v>
      </c>
    </row>
    <row r="715" spans="1:25">
      <c r="A715">
        <v>710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4161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527</v>
      </c>
      <c r="W715">
        <v>4871</v>
      </c>
      <c r="X715" t="s">
        <v>71</v>
      </c>
      <c r="Y715">
        <v>0.85423937589817289</v>
      </c>
    </row>
    <row r="716" spans="1:25">
      <c r="A716">
        <v>711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4152</v>
      </c>
      <c r="J716">
        <v>0</v>
      </c>
      <c r="K716">
        <v>5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527</v>
      </c>
      <c r="W716">
        <v>4869</v>
      </c>
      <c r="X716" t="s">
        <v>69</v>
      </c>
      <c r="Y716">
        <v>0.85274183610597654</v>
      </c>
    </row>
    <row r="717" spans="1:25">
      <c r="A717">
        <v>712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4157</v>
      </c>
      <c r="R717">
        <v>0</v>
      </c>
      <c r="S717">
        <v>0</v>
      </c>
      <c r="T717">
        <v>0</v>
      </c>
      <c r="U717">
        <v>2</v>
      </c>
      <c r="V717">
        <v>528</v>
      </c>
      <c r="W717">
        <v>4872</v>
      </c>
      <c r="X717" t="s">
        <v>61</v>
      </c>
      <c r="Y717">
        <v>0.85324302134646968</v>
      </c>
    </row>
    <row r="718" spans="1:25">
      <c r="A718">
        <v>713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4141</v>
      </c>
      <c r="R718">
        <v>17</v>
      </c>
      <c r="S718">
        <v>0</v>
      </c>
      <c r="T718">
        <v>0</v>
      </c>
      <c r="U718">
        <v>0</v>
      </c>
      <c r="V718">
        <v>528</v>
      </c>
      <c r="W718">
        <v>4873</v>
      </c>
      <c r="X718" t="s">
        <v>61</v>
      </c>
      <c r="Y718">
        <v>0.84978452698542994</v>
      </c>
    </row>
    <row r="719" spans="1:25">
      <c r="A719">
        <v>714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12</v>
      </c>
      <c r="L719">
        <v>4146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1</v>
      </c>
      <c r="U719">
        <v>0</v>
      </c>
      <c r="V719">
        <v>528</v>
      </c>
      <c r="W719">
        <v>4875</v>
      </c>
      <c r="X719" t="s">
        <v>66</v>
      </c>
      <c r="Y719">
        <v>0.85046153846153849</v>
      </c>
    </row>
    <row r="720" spans="1:25">
      <c r="A720">
        <v>715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2</v>
      </c>
      <c r="L720">
        <v>57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4098</v>
      </c>
      <c r="T720">
        <v>0</v>
      </c>
      <c r="U720">
        <v>0</v>
      </c>
      <c r="V720">
        <v>528</v>
      </c>
      <c r="W720">
        <v>4875</v>
      </c>
      <c r="X720" t="s">
        <v>59</v>
      </c>
      <c r="Y720">
        <v>0.84061538461538465</v>
      </c>
    </row>
    <row r="721" spans="1:27">
      <c r="A721">
        <v>716</v>
      </c>
      <c r="B721">
        <v>0</v>
      </c>
      <c r="C721">
        <v>0</v>
      </c>
      <c r="D721">
        <v>7</v>
      </c>
      <c r="E721">
        <v>4153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528</v>
      </c>
      <c r="W721">
        <v>4877</v>
      </c>
      <c r="X721" t="s">
        <v>73</v>
      </c>
      <c r="Y721">
        <v>0.85154808283781014</v>
      </c>
    </row>
    <row r="722" spans="1:27">
      <c r="A722">
        <v>717</v>
      </c>
      <c r="B722">
        <v>4158</v>
      </c>
      <c r="C722">
        <v>0</v>
      </c>
      <c r="D722">
        <v>1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528</v>
      </c>
      <c r="W722">
        <v>4878</v>
      </c>
      <c r="X722" t="s">
        <v>76</v>
      </c>
      <c r="Y722">
        <v>0.85239852398523985</v>
      </c>
    </row>
    <row r="723" spans="1:27">
      <c r="A723">
        <v>718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4158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528</v>
      </c>
      <c r="W723">
        <v>4879</v>
      </c>
      <c r="X723" t="s">
        <v>66</v>
      </c>
      <c r="Y723">
        <v>0.85222381635581057</v>
      </c>
    </row>
    <row r="724" spans="1:27">
      <c r="A724">
        <v>719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28</v>
      </c>
      <c r="J724">
        <v>0</v>
      </c>
      <c r="K724">
        <v>3</v>
      </c>
      <c r="L724">
        <v>14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4101</v>
      </c>
      <c r="T724">
        <v>0</v>
      </c>
      <c r="U724">
        <v>0</v>
      </c>
      <c r="V724">
        <v>528</v>
      </c>
      <c r="W724">
        <v>4866</v>
      </c>
      <c r="X724" t="s">
        <v>59</v>
      </c>
      <c r="Y724">
        <v>0.842786683107275</v>
      </c>
    </row>
    <row r="725" spans="1:27">
      <c r="A725">
        <v>720</v>
      </c>
      <c r="B725">
        <v>1</v>
      </c>
      <c r="C725">
        <v>1</v>
      </c>
      <c r="D725">
        <v>0</v>
      </c>
      <c r="E725">
        <v>0</v>
      </c>
      <c r="F725">
        <v>19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4133</v>
      </c>
      <c r="R725">
        <v>0</v>
      </c>
      <c r="S725">
        <v>0</v>
      </c>
      <c r="T725">
        <v>0</v>
      </c>
      <c r="U725">
        <v>0</v>
      </c>
      <c r="V725">
        <v>529</v>
      </c>
      <c r="W725">
        <v>4876</v>
      </c>
      <c r="X725" t="s">
        <v>61</v>
      </c>
      <c r="Y725">
        <v>0.84762100082034453</v>
      </c>
    </row>
    <row r="726" spans="1:27">
      <c r="A726">
        <v>721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12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4142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531</v>
      </c>
      <c r="W726">
        <v>4876</v>
      </c>
      <c r="X726" t="s">
        <v>62</v>
      </c>
      <c r="Y726">
        <v>0.84946677604593934</v>
      </c>
    </row>
    <row r="727" spans="1:27">
      <c r="A727">
        <v>722</v>
      </c>
      <c r="B727">
        <v>4141</v>
      </c>
      <c r="C727">
        <v>0</v>
      </c>
      <c r="D727">
        <v>0</v>
      </c>
      <c r="E727">
        <v>0</v>
      </c>
      <c r="F727">
        <v>0</v>
      </c>
      <c r="G727">
        <v>14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531</v>
      </c>
      <c r="W727">
        <v>4878</v>
      </c>
      <c r="X727" t="s">
        <v>76</v>
      </c>
      <c r="Y727">
        <v>0.8489134891348914</v>
      </c>
    </row>
    <row r="728" spans="1:27">
      <c r="A728">
        <v>723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13</v>
      </c>
      <c r="L728">
        <v>0</v>
      </c>
      <c r="M728">
        <v>0</v>
      </c>
      <c r="N728">
        <v>1</v>
      </c>
      <c r="O728">
        <v>15</v>
      </c>
      <c r="P728">
        <v>4121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532</v>
      </c>
      <c r="W728">
        <v>4873</v>
      </c>
      <c r="X728" t="s">
        <v>62</v>
      </c>
      <c r="Y728">
        <v>0.84568027908885701</v>
      </c>
    </row>
    <row r="729" spans="1:27">
      <c r="A729">
        <v>724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4141</v>
      </c>
      <c r="J729">
        <v>0</v>
      </c>
      <c r="K729">
        <v>1</v>
      </c>
      <c r="L729">
        <v>0</v>
      </c>
      <c r="M729">
        <v>2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2</v>
      </c>
      <c r="T729">
        <v>0</v>
      </c>
      <c r="U729">
        <v>0</v>
      </c>
      <c r="V729">
        <v>538</v>
      </c>
      <c r="W729">
        <v>4871</v>
      </c>
      <c r="X729" t="s">
        <v>69</v>
      </c>
      <c r="Y729">
        <v>0.8501334428248819</v>
      </c>
    </row>
    <row r="730" spans="1:27">
      <c r="A730">
        <v>725</v>
      </c>
      <c r="B730">
        <v>0</v>
      </c>
      <c r="C730">
        <v>0</v>
      </c>
      <c r="D730">
        <v>4141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</v>
      </c>
      <c r="V730">
        <v>538</v>
      </c>
      <c r="W730">
        <v>4870</v>
      </c>
      <c r="X730" t="s">
        <v>74</v>
      </c>
      <c r="Y730">
        <v>0.85030800821355235</v>
      </c>
    </row>
    <row r="731" spans="1:27">
      <c r="A731">
        <v>726</v>
      </c>
      <c r="B731">
        <v>4143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538</v>
      </c>
      <c r="W731">
        <v>4872</v>
      </c>
      <c r="X731" t="s">
        <v>76</v>
      </c>
      <c r="Y731">
        <v>0.85036945812807885</v>
      </c>
    </row>
    <row r="732" spans="1:27">
      <c r="A732">
        <v>727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4146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538</v>
      </c>
      <c r="W732">
        <v>4875</v>
      </c>
      <c r="X732" t="s">
        <v>62</v>
      </c>
      <c r="Y732">
        <v>0.85046153846153849</v>
      </c>
    </row>
    <row r="733" spans="1:27">
      <c r="A733">
        <v>728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3822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19</v>
      </c>
      <c r="S733">
        <v>303</v>
      </c>
      <c r="T733">
        <v>0</v>
      </c>
      <c r="U733">
        <v>0</v>
      </c>
      <c r="V733">
        <v>538</v>
      </c>
      <c r="W733">
        <v>4873</v>
      </c>
      <c r="X733" t="s">
        <v>69</v>
      </c>
      <c r="Y733">
        <v>0.78432177303509132</v>
      </c>
      <c r="AA733">
        <v>6.217935563308024E-2</v>
      </c>
    </row>
    <row r="734" spans="1:27">
      <c r="A734">
        <v>729</v>
      </c>
      <c r="B734">
        <v>0</v>
      </c>
      <c r="C734">
        <v>0</v>
      </c>
      <c r="D734">
        <v>4140</v>
      </c>
      <c r="E734">
        <v>1</v>
      </c>
      <c r="F734">
        <v>0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538</v>
      </c>
      <c r="W734">
        <v>4873</v>
      </c>
      <c r="X734" t="s">
        <v>74</v>
      </c>
      <c r="Y734">
        <v>0.84957931459060132</v>
      </c>
    </row>
    <row r="735" spans="1:27">
      <c r="A735">
        <v>730</v>
      </c>
      <c r="B735">
        <v>0</v>
      </c>
      <c r="C735">
        <v>0</v>
      </c>
      <c r="D735">
        <v>0</v>
      </c>
      <c r="E735">
        <v>0</v>
      </c>
      <c r="F735">
        <v>4141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4</v>
      </c>
      <c r="R735">
        <v>0</v>
      </c>
      <c r="S735">
        <v>2</v>
      </c>
      <c r="T735">
        <v>0</v>
      </c>
      <c r="U735">
        <v>2</v>
      </c>
      <c r="V735">
        <v>538</v>
      </c>
      <c r="W735">
        <v>4880</v>
      </c>
      <c r="X735" t="s">
        <v>72</v>
      </c>
      <c r="Y735">
        <v>0.8485655737704918</v>
      </c>
    </row>
    <row r="736" spans="1:27">
      <c r="A736">
        <v>731</v>
      </c>
      <c r="B736">
        <v>0</v>
      </c>
      <c r="C736">
        <v>0</v>
      </c>
      <c r="D736">
        <v>2</v>
      </c>
      <c r="E736">
        <v>4142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538</v>
      </c>
      <c r="W736">
        <v>4877</v>
      </c>
      <c r="X736" t="s">
        <v>73</v>
      </c>
      <c r="Y736">
        <v>0.84929259790855038</v>
      </c>
    </row>
    <row r="737" spans="1:27">
      <c r="A737">
        <v>732</v>
      </c>
      <c r="B737">
        <v>0</v>
      </c>
      <c r="C737">
        <v>0</v>
      </c>
      <c r="D737">
        <v>0</v>
      </c>
      <c r="E737">
        <v>0</v>
      </c>
      <c r="F737">
        <v>14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4136</v>
      </c>
      <c r="R737">
        <v>0</v>
      </c>
      <c r="S737">
        <v>0</v>
      </c>
      <c r="T737">
        <v>0</v>
      </c>
      <c r="U737">
        <v>0</v>
      </c>
      <c r="V737">
        <v>538</v>
      </c>
      <c r="W737">
        <v>4882</v>
      </c>
      <c r="X737" t="s">
        <v>61</v>
      </c>
      <c r="Y737">
        <v>0.84719377304383447</v>
      </c>
    </row>
    <row r="738" spans="1:27">
      <c r="A738">
        <v>733</v>
      </c>
      <c r="B738">
        <v>0</v>
      </c>
      <c r="C738">
        <v>0</v>
      </c>
      <c r="D738">
        <v>0</v>
      </c>
      <c r="E738">
        <v>1</v>
      </c>
      <c r="F738">
        <v>0</v>
      </c>
      <c r="G738">
        <v>4143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540</v>
      </c>
      <c r="W738">
        <v>4880</v>
      </c>
      <c r="X738" t="s">
        <v>71</v>
      </c>
      <c r="Y738">
        <v>0.84897540983606556</v>
      </c>
    </row>
    <row r="739" spans="1:27">
      <c r="A739">
        <v>734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4130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542</v>
      </c>
      <c r="W739">
        <v>4867</v>
      </c>
      <c r="X739" t="s">
        <v>62</v>
      </c>
      <c r="Y739">
        <v>0.84857201561536877</v>
      </c>
    </row>
    <row r="740" spans="1:27">
      <c r="A740">
        <v>735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4112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2</v>
      </c>
      <c r="R740">
        <v>6</v>
      </c>
      <c r="S740">
        <v>13</v>
      </c>
      <c r="T740">
        <v>0</v>
      </c>
      <c r="U740">
        <v>0</v>
      </c>
      <c r="V740">
        <v>553</v>
      </c>
      <c r="W740">
        <v>4869</v>
      </c>
      <c r="X740" t="s">
        <v>69</v>
      </c>
      <c r="Y740">
        <v>0.84452659683713294</v>
      </c>
    </row>
    <row r="741" spans="1:27">
      <c r="A741">
        <v>736</v>
      </c>
      <c r="B741">
        <v>0</v>
      </c>
      <c r="C741">
        <v>0</v>
      </c>
      <c r="D741">
        <v>0</v>
      </c>
      <c r="E741">
        <v>5</v>
      </c>
      <c r="F741">
        <v>0</v>
      </c>
      <c r="G741">
        <v>1</v>
      </c>
      <c r="H741">
        <v>0</v>
      </c>
      <c r="I741">
        <v>0</v>
      </c>
      <c r="J741">
        <v>4109</v>
      </c>
      <c r="K741">
        <v>0</v>
      </c>
      <c r="L741">
        <v>1</v>
      </c>
      <c r="M741">
        <v>14</v>
      </c>
      <c r="N741">
        <v>0</v>
      </c>
      <c r="O741">
        <v>0</v>
      </c>
      <c r="P741">
        <v>4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553</v>
      </c>
      <c r="W741">
        <v>4871</v>
      </c>
      <c r="X741" t="s">
        <v>68</v>
      </c>
      <c r="Y741">
        <v>0.84356394990761652</v>
      </c>
    </row>
    <row r="742" spans="1:27">
      <c r="A742">
        <v>737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4049</v>
      </c>
      <c r="K742">
        <v>1</v>
      </c>
      <c r="L742">
        <v>0</v>
      </c>
      <c r="M742">
        <v>6</v>
      </c>
      <c r="N742">
        <v>0</v>
      </c>
      <c r="O742">
        <v>2</v>
      </c>
      <c r="P742">
        <v>73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556</v>
      </c>
      <c r="W742">
        <v>4868</v>
      </c>
      <c r="X742" t="s">
        <v>68</v>
      </c>
      <c r="Y742">
        <v>0.83175842235004105</v>
      </c>
    </row>
    <row r="743" spans="1:27">
      <c r="A743">
        <v>738</v>
      </c>
      <c r="B743">
        <v>0</v>
      </c>
      <c r="C743">
        <v>0</v>
      </c>
      <c r="D743">
        <v>13</v>
      </c>
      <c r="E743">
        <v>4059</v>
      </c>
      <c r="F743">
        <v>0</v>
      </c>
      <c r="G743">
        <v>5</v>
      </c>
      <c r="H743">
        <v>0</v>
      </c>
      <c r="I743">
        <v>1</v>
      </c>
      <c r="J743">
        <v>6</v>
      </c>
      <c r="K743">
        <v>0</v>
      </c>
      <c r="L743">
        <v>0</v>
      </c>
      <c r="M743">
        <v>2</v>
      </c>
      <c r="N743">
        <v>0</v>
      </c>
      <c r="O743">
        <v>8</v>
      </c>
      <c r="P743">
        <v>0</v>
      </c>
      <c r="Q743">
        <v>0</v>
      </c>
      <c r="R743">
        <v>0</v>
      </c>
      <c r="S743">
        <v>3</v>
      </c>
      <c r="T743">
        <v>0</v>
      </c>
      <c r="U743">
        <v>0</v>
      </c>
      <c r="V743">
        <v>566</v>
      </c>
      <c r="W743">
        <v>4835</v>
      </c>
      <c r="X743" t="s">
        <v>73</v>
      </c>
      <c r="Y743">
        <v>0.83950361944157192</v>
      </c>
    </row>
    <row r="744" spans="1:27">
      <c r="A744">
        <v>739</v>
      </c>
      <c r="B744">
        <v>3</v>
      </c>
      <c r="C744">
        <v>0</v>
      </c>
      <c r="D744">
        <v>23</v>
      </c>
      <c r="E744">
        <v>4067</v>
      </c>
      <c r="F744">
        <v>0</v>
      </c>
      <c r="G744">
        <v>1</v>
      </c>
      <c r="H744">
        <v>0</v>
      </c>
      <c r="I744">
        <v>0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</v>
      </c>
      <c r="T744">
        <v>0</v>
      </c>
      <c r="U744">
        <v>0</v>
      </c>
      <c r="V744">
        <v>587</v>
      </c>
      <c r="W744">
        <v>4838</v>
      </c>
      <c r="X744" t="s">
        <v>73</v>
      </c>
      <c r="Y744">
        <v>0.84063662670525008</v>
      </c>
    </row>
    <row r="745" spans="1:27">
      <c r="A745">
        <v>740</v>
      </c>
      <c r="B745">
        <v>0</v>
      </c>
      <c r="C745">
        <v>0</v>
      </c>
      <c r="D745">
        <v>0</v>
      </c>
      <c r="E745">
        <v>0</v>
      </c>
      <c r="F745">
        <v>4087</v>
      </c>
      <c r="G745">
        <v>0</v>
      </c>
      <c r="H745">
        <v>0</v>
      </c>
      <c r="I745">
        <v>2</v>
      </c>
      <c r="J745">
        <v>0</v>
      </c>
      <c r="K745">
        <v>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2</v>
      </c>
      <c r="R745">
        <v>0</v>
      </c>
      <c r="S745">
        <v>1</v>
      </c>
      <c r="T745">
        <v>0</v>
      </c>
      <c r="U745">
        <v>3</v>
      </c>
      <c r="V745">
        <v>589</v>
      </c>
      <c r="W745">
        <v>4837</v>
      </c>
      <c r="X745" t="s">
        <v>72</v>
      </c>
      <c r="Y745">
        <v>0.84494521397560474</v>
      </c>
    </row>
    <row r="746" spans="1:27">
      <c r="A746">
        <v>741</v>
      </c>
      <c r="B746">
        <v>3985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2</v>
      </c>
      <c r="N746">
        <v>0</v>
      </c>
      <c r="O746">
        <v>0</v>
      </c>
      <c r="P746">
        <v>0</v>
      </c>
      <c r="Q746">
        <v>17</v>
      </c>
      <c r="R746">
        <v>73</v>
      </c>
      <c r="S746">
        <v>9</v>
      </c>
      <c r="T746">
        <v>0</v>
      </c>
      <c r="U746">
        <v>0</v>
      </c>
      <c r="V746">
        <v>594</v>
      </c>
      <c r="W746">
        <v>4828</v>
      </c>
      <c r="X746" t="s">
        <v>76</v>
      </c>
      <c r="Y746">
        <v>0.82539353769676882</v>
      </c>
      <c r="AA746">
        <v>3.5211267605633804E-3</v>
      </c>
    </row>
    <row r="747" spans="1:27">
      <c r="A747">
        <v>742</v>
      </c>
      <c r="B747">
        <v>0</v>
      </c>
      <c r="C747">
        <v>0</v>
      </c>
      <c r="D747">
        <v>1</v>
      </c>
      <c r="E747">
        <v>4084</v>
      </c>
      <c r="F747">
        <v>0</v>
      </c>
      <c r="G747">
        <v>0</v>
      </c>
      <c r="H747">
        <v>0</v>
      </c>
      <c r="I747">
        <v>0</v>
      </c>
      <c r="J747">
        <v>4</v>
      </c>
      <c r="K747">
        <v>0</v>
      </c>
      <c r="L747">
        <v>0</v>
      </c>
      <c r="M747">
        <v>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597</v>
      </c>
      <c r="W747">
        <v>4833</v>
      </c>
      <c r="X747" t="s">
        <v>73</v>
      </c>
      <c r="Y747">
        <v>0.8450237947444651</v>
      </c>
    </row>
    <row r="748" spans="1:27">
      <c r="A748">
        <v>743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4085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3</v>
      </c>
      <c r="S748">
        <v>0</v>
      </c>
      <c r="T748">
        <v>0</v>
      </c>
      <c r="U748">
        <v>0</v>
      </c>
      <c r="V748">
        <v>599</v>
      </c>
      <c r="W748">
        <v>4832</v>
      </c>
      <c r="X748" t="s">
        <v>69</v>
      </c>
      <c r="Y748">
        <v>0.8454056291390728</v>
      </c>
    </row>
    <row r="749" spans="1:27">
      <c r="A749">
        <v>744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39</v>
      </c>
      <c r="J749">
        <v>0</v>
      </c>
      <c r="K749">
        <v>58</v>
      </c>
      <c r="L749">
        <v>3926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56</v>
      </c>
      <c r="S749">
        <v>8</v>
      </c>
      <c r="T749">
        <v>0</v>
      </c>
      <c r="U749">
        <v>0</v>
      </c>
      <c r="V749">
        <v>600</v>
      </c>
      <c r="W749">
        <v>4833</v>
      </c>
      <c r="X749" t="s">
        <v>66</v>
      </c>
      <c r="Y749">
        <v>0.81233188495758324</v>
      </c>
    </row>
    <row r="750" spans="1:27">
      <c r="A750">
        <v>745</v>
      </c>
      <c r="B750">
        <v>0</v>
      </c>
      <c r="C750">
        <v>0</v>
      </c>
      <c r="D750">
        <v>0</v>
      </c>
      <c r="E750">
        <v>2</v>
      </c>
      <c r="F750">
        <v>0</v>
      </c>
      <c r="G750">
        <v>0</v>
      </c>
      <c r="H750">
        <v>0</v>
      </c>
      <c r="I750">
        <v>0</v>
      </c>
      <c r="J750">
        <v>4074</v>
      </c>
      <c r="K750">
        <v>0</v>
      </c>
      <c r="L750">
        <v>0</v>
      </c>
      <c r="M750">
        <v>1</v>
      </c>
      <c r="N750">
        <v>0</v>
      </c>
      <c r="O750">
        <v>1</v>
      </c>
      <c r="P750">
        <v>3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600</v>
      </c>
      <c r="W750">
        <v>4827</v>
      </c>
      <c r="X750" t="s">
        <v>68</v>
      </c>
      <c r="Y750">
        <v>0.84400248601615913</v>
      </c>
    </row>
    <row r="751" spans="1:27">
      <c r="A751">
        <v>746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4055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14</v>
      </c>
      <c r="S751">
        <v>4</v>
      </c>
      <c r="T751">
        <v>0</v>
      </c>
      <c r="U751">
        <v>0</v>
      </c>
      <c r="V751">
        <v>609</v>
      </c>
      <c r="W751">
        <v>4820</v>
      </c>
      <c r="X751" t="s">
        <v>69</v>
      </c>
      <c r="Y751">
        <v>0.84128630705394192</v>
      </c>
    </row>
    <row r="752" spans="1:27">
      <c r="A752">
        <v>747</v>
      </c>
      <c r="B752">
        <v>0</v>
      </c>
      <c r="C752">
        <v>4066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1</v>
      </c>
      <c r="U752">
        <v>0</v>
      </c>
      <c r="V752">
        <v>616</v>
      </c>
      <c r="W752">
        <v>4815</v>
      </c>
      <c r="X752" t="s">
        <v>75</v>
      </c>
      <c r="Y752">
        <v>0.84444444444444444</v>
      </c>
    </row>
    <row r="753" spans="1:25">
      <c r="A753">
        <v>748</v>
      </c>
      <c r="B753">
        <v>0</v>
      </c>
      <c r="C753">
        <v>0</v>
      </c>
      <c r="D753">
        <v>0</v>
      </c>
      <c r="E753">
        <v>0</v>
      </c>
      <c r="F753">
        <v>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4053</v>
      </c>
      <c r="R753">
        <v>0</v>
      </c>
      <c r="S753">
        <v>0</v>
      </c>
      <c r="T753">
        <v>0</v>
      </c>
      <c r="U753">
        <v>4</v>
      </c>
      <c r="V753">
        <v>619</v>
      </c>
      <c r="W753">
        <v>4813</v>
      </c>
      <c r="X753" t="s">
        <v>61</v>
      </c>
      <c r="Y753">
        <v>0.8420943278620403</v>
      </c>
    </row>
    <row r="754" spans="1:25">
      <c r="A754">
        <v>749</v>
      </c>
      <c r="B754">
        <v>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2</v>
      </c>
      <c r="O754">
        <v>0</v>
      </c>
      <c r="P754">
        <v>0</v>
      </c>
      <c r="Q754">
        <v>0</v>
      </c>
      <c r="R754">
        <v>4059</v>
      </c>
      <c r="S754">
        <v>0</v>
      </c>
      <c r="T754">
        <v>0</v>
      </c>
      <c r="U754">
        <v>0</v>
      </c>
      <c r="V754">
        <v>622</v>
      </c>
      <c r="W754">
        <v>4812</v>
      </c>
      <c r="X754" t="s">
        <v>60</v>
      </c>
      <c r="Y754">
        <v>0.84351620947630923</v>
      </c>
    </row>
    <row r="755" spans="1:25">
      <c r="A755">
        <v>750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4047</v>
      </c>
      <c r="J755">
        <v>0</v>
      </c>
      <c r="K755">
        <v>0</v>
      </c>
      <c r="L755">
        <v>2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2</v>
      </c>
      <c r="S755">
        <v>0</v>
      </c>
      <c r="T755">
        <v>0</v>
      </c>
      <c r="U755">
        <v>0</v>
      </c>
      <c r="V755">
        <v>633</v>
      </c>
      <c r="W755">
        <v>4802</v>
      </c>
      <c r="X755" t="s">
        <v>69</v>
      </c>
      <c r="Y755">
        <v>0.8427738442315702</v>
      </c>
    </row>
    <row r="756" spans="1:25">
      <c r="A756">
        <v>751</v>
      </c>
      <c r="B756">
        <v>1</v>
      </c>
      <c r="C756">
        <v>0</v>
      </c>
      <c r="D756">
        <v>1</v>
      </c>
      <c r="E756">
        <v>4042</v>
      </c>
      <c r="F756">
        <v>0</v>
      </c>
      <c r="G756">
        <v>1</v>
      </c>
      <c r="H756">
        <v>0</v>
      </c>
      <c r="I756">
        <v>0</v>
      </c>
      <c r="J756">
        <v>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636</v>
      </c>
      <c r="W756">
        <v>4803</v>
      </c>
      <c r="X756" t="s">
        <v>73</v>
      </c>
      <c r="Y756">
        <v>0.84155735998334369</v>
      </c>
    </row>
    <row r="757" spans="1:25">
      <c r="A757">
        <v>752</v>
      </c>
      <c r="B757">
        <v>0</v>
      </c>
      <c r="C757">
        <v>0</v>
      </c>
      <c r="D757">
        <v>5</v>
      </c>
      <c r="E757">
        <v>4027</v>
      </c>
      <c r="F757">
        <v>0</v>
      </c>
      <c r="G757">
        <v>8</v>
      </c>
      <c r="H757">
        <v>0</v>
      </c>
      <c r="I757">
        <v>0</v>
      </c>
      <c r="J757">
        <v>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638</v>
      </c>
      <c r="W757">
        <v>4795</v>
      </c>
      <c r="X757" t="s">
        <v>73</v>
      </c>
      <c r="Y757">
        <v>0.83983315954118876</v>
      </c>
    </row>
    <row r="758" spans="1:25">
      <c r="A758">
        <v>753</v>
      </c>
      <c r="B758">
        <v>0</v>
      </c>
      <c r="C758">
        <v>0</v>
      </c>
      <c r="D758">
        <v>0</v>
      </c>
      <c r="E758">
        <v>0</v>
      </c>
      <c r="F758">
        <v>26</v>
      </c>
      <c r="G758">
        <v>0</v>
      </c>
      <c r="H758">
        <v>3</v>
      </c>
      <c r="I758">
        <v>10</v>
      </c>
      <c r="J758">
        <v>0</v>
      </c>
      <c r="K758">
        <v>4003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641</v>
      </c>
      <c r="W758">
        <v>4796</v>
      </c>
      <c r="X758" t="s">
        <v>67</v>
      </c>
      <c r="Y758">
        <v>0.83465387823185988</v>
      </c>
    </row>
    <row r="759" spans="1:25">
      <c r="A759">
        <v>754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47</v>
      </c>
      <c r="H759">
        <v>0</v>
      </c>
      <c r="I759">
        <v>1</v>
      </c>
      <c r="J759">
        <v>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3992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643</v>
      </c>
      <c r="W759">
        <v>4798</v>
      </c>
      <c r="X759" t="s">
        <v>62</v>
      </c>
      <c r="Y759">
        <v>0.83201333889120466</v>
      </c>
    </row>
    <row r="760" spans="1:25">
      <c r="A760">
        <v>755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4040</v>
      </c>
      <c r="Q760">
        <v>0</v>
      </c>
      <c r="R760">
        <v>1</v>
      </c>
      <c r="S760">
        <v>0</v>
      </c>
      <c r="T760">
        <v>1</v>
      </c>
      <c r="U760">
        <v>0</v>
      </c>
      <c r="V760">
        <v>645</v>
      </c>
      <c r="W760">
        <v>4798</v>
      </c>
      <c r="X760" t="s">
        <v>62</v>
      </c>
      <c r="Y760">
        <v>0.84201750729470615</v>
      </c>
    </row>
    <row r="761" spans="1:25">
      <c r="A761">
        <v>756</v>
      </c>
      <c r="B761">
        <v>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18</v>
      </c>
      <c r="I761">
        <v>0</v>
      </c>
      <c r="J761">
        <v>2</v>
      </c>
      <c r="K761">
        <v>4</v>
      </c>
      <c r="L761">
        <v>0</v>
      </c>
      <c r="M761">
        <v>0</v>
      </c>
      <c r="N761">
        <v>1</v>
      </c>
      <c r="O761">
        <v>3997</v>
      </c>
      <c r="P761">
        <v>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649</v>
      </c>
      <c r="W761">
        <v>4789</v>
      </c>
      <c r="X761" t="s">
        <v>63</v>
      </c>
      <c r="Y761">
        <v>0.83462100647316773</v>
      </c>
    </row>
    <row r="762" spans="1:25">
      <c r="A762">
        <v>757</v>
      </c>
      <c r="B762">
        <v>0</v>
      </c>
      <c r="C762">
        <v>0</v>
      </c>
      <c r="D762">
        <v>0</v>
      </c>
      <c r="E762">
        <v>12</v>
      </c>
      <c r="F762">
        <v>0</v>
      </c>
      <c r="G762">
        <v>33</v>
      </c>
      <c r="H762">
        <v>0</v>
      </c>
      <c r="I762">
        <v>1</v>
      </c>
      <c r="J762">
        <v>3441</v>
      </c>
      <c r="K762">
        <v>0</v>
      </c>
      <c r="L762">
        <v>0</v>
      </c>
      <c r="M762">
        <v>495</v>
      </c>
      <c r="N762">
        <v>0</v>
      </c>
      <c r="O762">
        <v>7</v>
      </c>
      <c r="P762">
        <v>12</v>
      </c>
      <c r="Q762">
        <v>5</v>
      </c>
      <c r="R762">
        <v>0</v>
      </c>
      <c r="S762">
        <v>0</v>
      </c>
      <c r="T762">
        <v>0</v>
      </c>
      <c r="U762">
        <v>0</v>
      </c>
      <c r="V762">
        <v>664</v>
      </c>
      <c r="W762">
        <v>4763</v>
      </c>
      <c r="X762" t="s">
        <v>68</v>
      </c>
      <c r="Y762">
        <v>0.72244383791727906</v>
      </c>
    </row>
    <row r="763" spans="1:25">
      <c r="A763">
        <v>758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32</v>
      </c>
      <c r="K763">
        <v>2</v>
      </c>
      <c r="L763">
        <v>0</v>
      </c>
      <c r="M763">
        <v>0</v>
      </c>
      <c r="N763">
        <v>0</v>
      </c>
      <c r="O763">
        <v>160</v>
      </c>
      <c r="P763">
        <v>0</v>
      </c>
      <c r="Q763">
        <v>3</v>
      </c>
      <c r="R763">
        <v>0</v>
      </c>
      <c r="S763">
        <v>0</v>
      </c>
      <c r="T763">
        <v>9</v>
      </c>
      <c r="U763">
        <v>0</v>
      </c>
      <c r="V763">
        <v>719</v>
      </c>
      <c r="W763">
        <v>964</v>
      </c>
      <c r="X763" t="s">
        <v>63</v>
      </c>
      <c r="Y763">
        <v>0.16597510373443983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 4A</vt:lpstr>
      <vt:lpstr>Fig 4B</vt:lpstr>
      <vt:lpstr>Fig 4D</vt:lpstr>
      <vt:lpstr>Fig 4E</vt:lpstr>
      <vt:lpstr>Fig 4F</vt:lpstr>
      <vt:lpstr> pdm009-like PB1-CD</vt:lpstr>
      <vt:lpstr>BJ16-Like PB1-CD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2026-02-07T15:42:30Z</dcterms:modified>
</cp:coreProperties>
</file>